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vav\OneDrive\Desktop\"/>
    </mc:Choice>
  </mc:AlternateContent>
  <xr:revisionPtr revIDLastSave="0" documentId="13_ncr:1_{F9C52A5B-159C-4966-8C92-B4406B1F7BC2}" xr6:coauthVersionLast="47" xr6:coauthVersionMax="47" xr10:uidLastSave="{00000000-0000-0000-0000-000000000000}"/>
  <bookViews>
    <workbookView xWindow="-108" yWindow="-108" windowWidth="23256" windowHeight="13896" activeTab="6" xr2:uid="{4620FC54-771D-4926-8659-17E0E58491A5}"/>
  </bookViews>
  <sheets>
    <sheet name="Quotation (3)" sheetId="11" r:id="rId1"/>
    <sheet name="Quotation (2)" sheetId="10" r:id="rId2"/>
    <sheet name="Quotation" sheetId="8" r:id="rId3"/>
    <sheet name="Tax Invoice (2)" sheetId="12" r:id="rId4"/>
    <sheet name="Tax Invoice" sheetId="5" r:id="rId5"/>
    <sheet name="Ledger" sheetId="6" state="hidden" r:id="rId6"/>
    <sheet name="Sheet1" sheetId="9" r:id="rId7"/>
  </sheets>
  <definedNames>
    <definedName name="_xleta.SUM" hidden="1" xlm="1">#NAME?</definedName>
    <definedName name="_xlnm.Print_Area" localSheetId="2">Quotation!$A$1:$J$76</definedName>
    <definedName name="_xlnm.Print_Area" localSheetId="1">'Quotation (2)'!$A$1:$J$51</definedName>
    <definedName name="_xlnm.Print_Area" localSheetId="0">'Quotation (3)'!$A$1:$J$52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4" i="9" l="1"/>
  <c r="C44" i="9"/>
  <c r="J23" i="12"/>
  <c r="J21" i="12"/>
  <c r="D38" i="9"/>
  <c r="J31" i="8"/>
  <c r="J7" i="9"/>
  <c r="D29" i="9"/>
  <c r="D30" i="9" s="1"/>
  <c r="C29" i="9"/>
  <c r="C30" i="9" s="1"/>
  <c r="E30" i="9" s="1"/>
  <c r="C18" i="9"/>
  <c r="D18" i="9"/>
  <c r="E18" i="9" s="1"/>
  <c r="I13" i="6"/>
  <c r="I32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16" i="6"/>
  <c r="G13" i="6"/>
  <c r="H13" i="6"/>
  <c r="J22" i="5"/>
  <c r="J23" i="5"/>
  <c r="J24" i="5"/>
  <c r="J25" i="5"/>
  <c r="J21" i="5"/>
  <c r="E44" i="9" l="1"/>
  <c r="J32" i="8"/>
  <c r="J28" i="5"/>
  <c r="J33" i="8" l="1"/>
  <c r="J34" i="8" s="1"/>
  <c r="J29" i="5"/>
  <c r="J30" i="5" s="1"/>
</calcChain>
</file>

<file path=xl/sharedStrings.xml><?xml version="1.0" encoding="utf-8"?>
<sst xmlns="http://schemas.openxmlformats.org/spreadsheetml/2006/main" count="277" uniqueCount="167">
  <si>
    <t>SHARJAH | DUBAI | ABU DHABI</t>
  </si>
  <si>
    <t>Sales • Service • Rental - Printers &amp; Toners</t>
  </si>
  <si>
    <t xml:space="preserve">Tax Invoice </t>
  </si>
  <si>
    <t>PC/INV/26-02/01</t>
  </si>
  <si>
    <t>Date: 09/02/2026</t>
  </si>
  <si>
    <t>Bill To:</t>
  </si>
  <si>
    <t>Quality International,</t>
  </si>
  <si>
    <t>306, Al Saud Building 2,</t>
  </si>
  <si>
    <t>Al Qusais Industrial 4,</t>
  </si>
  <si>
    <t>Beirut St, Dubai.</t>
  </si>
  <si>
    <t>Ms. Fareen</t>
  </si>
  <si>
    <t>+971 553733800</t>
  </si>
  <si>
    <t>Sl. No</t>
  </si>
  <si>
    <t>Qty</t>
  </si>
  <si>
    <t>Rate (AED)</t>
  </si>
  <si>
    <t>Sub Total</t>
  </si>
  <si>
    <t>Item Description</t>
  </si>
  <si>
    <t>VAT (5%)</t>
  </si>
  <si>
    <t>Total Amount</t>
  </si>
  <si>
    <t xml:space="preserve">Amount in Words: </t>
  </si>
  <si>
    <t>Canon Exv51 Black</t>
  </si>
  <si>
    <t>Canon Exv51 Magenta</t>
  </si>
  <si>
    <t>Canon Exv51 Yellow</t>
  </si>
  <si>
    <t>Canon Exv54 Black Toner</t>
  </si>
  <si>
    <t>Canon Exv54 Yellow Toner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</si>
  <si>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2"/>
        <color theme="1"/>
        <rFont val="Calibri"/>
        <family val="2"/>
      </rPr>
      <t>Warranty as per OEM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</si>
  <si>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2"/>
        <color theme="1"/>
        <rFont val="Calibri"/>
        <family val="2"/>
      </rPr>
      <t xml:space="preserve">Recieved goods in good condition 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</si>
  <si>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2"/>
        <color theme="1"/>
        <rFont val="Calibri"/>
        <family val="2"/>
      </rPr>
      <t>Total payment is due in 7 Days</t>
    </r>
  </si>
  <si>
    <t>Print Care Office Equipment TR LLC</t>
  </si>
  <si>
    <t xml:space="preserve">Customer Signature </t>
  </si>
  <si>
    <t xml:space="preserve">Print Care Office Equipment TR LLC | Muwaileh Commercial, Sharjah, UAE </t>
  </si>
  <si>
    <t>www.printcareglobal.ae | Email - siva@printcareglobal.ae | +971 56 486 4535</t>
  </si>
  <si>
    <t>Two Thousand and Fifty Eight Dirhams and Zero Fills Only</t>
  </si>
  <si>
    <t xml:space="preserve">Employee Name: </t>
  </si>
  <si>
    <t>Sivaramaiah Kowrati</t>
  </si>
  <si>
    <t>Designation:</t>
  </si>
  <si>
    <t>Sales &amp; Marketing</t>
  </si>
  <si>
    <t>Ledger</t>
  </si>
  <si>
    <t>Sl.No</t>
  </si>
  <si>
    <t>Date</t>
  </si>
  <si>
    <t>Credited</t>
  </si>
  <si>
    <t>Debited</t>
  </si>
  <si>
    <t>Balance</t>
  </si>
  <si>
    <t>Description</t>
  </si>
  <si>
    <t>Company Mobile Purchased</t>
  </si>
  <si>
    <t>Metro Travel for Sim</t>
  </si>
  <si>
    <t>Visiting Cards Print</t>
  </si>
  <si>
    <t>Advance Amount Taken</t>
  </si>
  <si>
    <t>Salary Credited</t>
  </si>
  <si>
    <t>Claim Amount Credited</t>
  </si>
  <si>
    <t>Extra Amount Credited</t>
  </si>
  <si>
    <t>Travel to Sharjah for Office Visit</t>
  </si>
  <si>
    <t>Travel to customer visit for toner enquiry</t>
  </si>
  <si>
    <t>Purchased Toner</t>
  </si>
  <si>
    <t>Amount Credited via Cashless Withdrawl</t>
  </si>
  <si>
    <t>Customer Visit for Toner Delivery</t>
  </si>
  <si>
    <t>Sim card recharge</t>
  </si>
  <si>
    <t>Visa Charges</t>
  </si>
  <si>
    <t>Received Cash from the Customer</t>
  </si>
  <si>
    <t>Amount Deducted for Travel</t>
  </si>
  <si>
    <t>Balance Amount after removing Advance &amp; Salary (Cash In Hand)</t>
  </si>
  <si>
    <t>Advance Cash Taken</t>
  </si>
  <si>
    <t>United Arab Emirates,</t>
  </si>
  <si>
    <t>Looking forward to receiving your valued orders and assure you of our best services always,</t>
  </si>
  <si>
    <t>Quotation</t>
  </si>
  <si>
    <t>Ref No</t>
  </si>
  <si>
    <t>Best Regards,</t>
  </si>
  <si>
    <t>Print Care Offcie Equipment Tr LLC,</t>
  </si>
  <si>
    <t>Muweilah Sharjah, UAE</t>
  </si>
  <si>
    <t>Siva Kowrati,</t>
  </si>
  <si>
    <t>Sales &amp; Marketing,</t>
  </si>
  <si>
    <t>+971 564864535</t>
  </si>
  <si>
    <t>Dear Sir/Madam,</t>
  </si>
  <si>
    <t>To:</t>
  </si>
  <si>
    <t>Print Care Office Equipment TR LLC | Muwaileh Commercial, Sharjah, UAE 
www.printcareglobal.ae | Email - siva@printcareglobal.ae | +971 56 486 4535</t>
  </si>
  <si>
    <t>SHARJAH | DUBAI | ABU DHABI
Sales • Service • Rental - Printers &amp; Toners</t>
  </si>
  <si>
    <t>Advance taken earlier</t>
  </si>
  <si>
    <t>Cash Withdraw</t>
  </si>
  <si>
    <t>Amount for Return Ticket &amp; Hotel Booking</t>
  </si>
  <si>
    <t>Amount for Nol Card</t>
  </si>
  <si>
    <t>Travel to Airport &amp; Sim Recharge</t>
  </si>
  <si>
    <t>Advance cash</t>
  </si>
  <si>
    <t>Nol Card Recharge</t>
  </si>
  <si>
    <t>Travel to DMCC &amp; Return</t>
  </si>
  <si>
    <t>Travel to Abu baker NPP &amp; Return</t>
  </si>
  <si>
    <t>Travel to DMCC Product Cash &amp; Return</t>
  </si>
  <si>
    <t>Sim Recharge</t>
  </si>
  <si>
    <t>Travel to Al ras &amp; Return</t>
  </si>
  <si>
    <t>Received</t>
  </si>
  <si>
    <t>Spends</t>
  </si>
  <si>
    <t>Salary for Feb Month</t>
  </si>
  <si>
    <t>Cut only half for Feb month</t>
  </si>
  <si>
    <t>To Receive</t>
  </si>
  <si>
    <t>Bappa</t>
  </si>
  <si>
    <t>Siva</t>
  </si>
  <si>
    <t>Dinner Tahera Credit Card</t>
  </si>
  <si>
    <t>Dinner Kharkosh</t>
  </si>
  <si>
    <t>Breakfast Day 2 Day</t>
  </si>
  <si>
    <t>Lunch Carefour</t>
  </si>
  <si>
    <t>Dinner Tahera Cash</t>
  </si>
  <si>
    <t>Total</t>
  </si>
  <si>
    <t>Common</t>
  </si>
  <si>
    <t>To Give</t>
  </si>
  <si>
    <t>Phone Pe Nmbr</t>
  </si>
  <si>
    <t>Person Name</t>
  </si>
  <si>
    <t>Sr.NO</t>
  </si>
  <si>
    <t>Amount Rupees</t>
  </si>
  <si>
    <t>Chandrakala Kowrati</t>
  </si>
  <si>
    <t>Meena Baisani</t>
  </si>
  <si>
    <t>Anand More</t>
  </si>
  <si>
    <t>Total Amount in Rupees</t>
  </si>
  <si>
    <t>Epson L6270 Ink</t>
  </si>
  <si>
    <t>1 Set</t>
  </si>
  <si>
    <t>A4 Size Paper</t>
  </si>
  <si>
    <t xml:space="preserve">1 Carton </t>
  </si>
  <si>
    <t>Set</t>
  </si>
  <si>
    <t>Rate</t>
  </si>
  <si>
    <t>229 + Vat</t>
  </si>
  <si>
    <t>75 + Vat</t>
  </si>
  <si>
    <t>In response to your instruction, we hereby submit our best rate for Service and Parts for your kind perusal.</t>
  </si>
  <si>
    <t>Please feel free to contact us for clarification, if any</t>
  </si>
  <si>
    <t>Subject: Quotation for Epson L6270 Ink &amp; A4 Size Paper</t>
  </si>
  <si>
    <t>Arabian Furt Auto Spare Parts LLC</t>
  </si>
  <si>
    <t>Sharjah,</t>
  </si>
  <si>
    <t>Industrial Area 5,</t>
  </si>
  <si>
    <t>+971 506383821</t>
  </si>
  <si>
    <t>Rashid Sir</t>
  </si>
  <si>
    <t>: PC/QUOT/20</t>
  </si>
  <si>
    <t>Type</t>
  </si>
  <si>
    <t>Warranty</t>
  </si>
  <si>
    <t>Sales</t>
  </si>
  <si>
    <t>Rentals</t>
  </si>
  <si>
    <t>Reconditioned</t>
  </si>
  <si>
    <t>1 year</t>
  </si>
  <si>
    <t>3300 + VAT</t>
  </si>
  <si>
    <t>3700 + VAT</t>
  </si>
  <si>
    <t>425 + VAT per Month 
Free Copies 3000BW &amp; 1500CL 
Extra Copy Charges BW4FILLS &amp; 
CL20FILLS</t>
  </si>
  <si>
    <t>Canon iR ADV C3520  Printer: 35 
ppm, A4 Color MFP, print, copy, 
scan, Duplex Print, Duplex Scan</t>
  </si>
  <si>
    <t>375 + VAT per Month
Free Copies 3000BW &amp; 1500CL 
Extra Copy Charges BW4FILLS &amp; 
CL18FILLS</t>
  </si>
  <si>
    <t>320 + VAT per Month 
Free Copies 3000BW &amp; 1500CL 
Extra Copy Charges BW4FILLS &amp; 
CL18FILLS</t>
  </si>
  <si>
    <t>2600 + VAT</t>
  </si>
  <si>
    <t>Canon iR ADV C5240 / C5250  Printer: 52 
ppm, A4 Color MFP, print, copy, 
scan, Duplex Print, Duplex Scan</t>
  </si>
  <si>
    <t>Canon iR ADV C5535 / C5540  Printer: 55 
ppm, A4 Color MFP, print, copy, 
scan, Duplex Print, Duplex Scan</t>
  </si>
  <si>
    <t>+971 528307010</t>
  </si>
  <si>
    <t>Subject: Quotation for Canon iR ADV Printers</t>
  </si>
  <si>
    <t>: PC/QUOT/21</t>
  </si>
  <si>
    <t>Amount Taken in Indian Rupess 1000</t>
  </si>
  <si>
    <t>Travel to Business Bay</t>
  </si>
  <si>
    <t>Travel to Sharjah for Product Delivery</t>
  </si>
  <si>
    <t>Amount Withdraw for Ink Purchase</t>
  </si>
  <si>
    <t>Ink Purchased</t>
  </si>
  <si>
    <t xml:space="preserve">Visit Visa Renewal </t>
  </si>
  <si>
    <t>: PC/QUOT/23</t>
  </si>
  <si>
    <t>Marine Shield Ships Tanks Cleaning LLC</t>
  </si>
  <si>
    <t>Fujairah,</t>
  </si>
  <si>
    <t>Shabeer Ponmala</t>
  </si>
  <si>
    <t>+971 562651416</t>
  </si>
  <si>
    <t>Canon iR ADV C5550  Printer: 55 
ppm, A4 Color MFP, print, copy, 
scan, Duplex Print, Duplex Scan</t>
  </si>
  <si>
    <t>Canon iR ADV C5250  Printer: 52 
ppm, A4 Color MFP, print, copy, 
scan, Duplex Print, Duplex Scan</t>
  </si>
  <si>
    <t xml:space="preserve">Green Hills Building Contract </t>
  </si>
  <si>
    <t>Drum</t>
  </si>
  <si>
    <t>PC/INV/26-03/04</t>
  </si>
  <si>
    <t>Date: 10/03/2026</t>
  </si>
  <si>
    <t>One Hundred and Twenty Dirhams and Zero Fills Only</t>
  </si>
  <si>
    <t>Half Month Salary</t>
  </si>
  <si>
    <t>Advance amount deduction</t>
  </si>
  <si>
    <t>Mobile Amount Deduction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</si>
</sst>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2"/>
      <color rgb="FF767171"/>
      <name val="Calibri"/>
      <family val="2"/>
    </font>
    <font>
      <b/>
      <sz val="12"/>
      <color theme="1"/>
      <name val="Calibri"/>
      <family val="2"/>
    </font>
    <font>
      <b/>
      <sz val="12"/>
      <color rgb="FFA6A6A6"/>
      <name val="Roboto"/>
    </font>
    <font>
      <sz val="12"/>
      <color theme="1"/>
      <name val="Symbol"/>
      <family val="1"/>
      <charset val="2"/>
    </font>
    <font>
      <sz val="7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b/>
      <sz val="11"/>
      <color theme="2" tint="-0.749992370372631"/>
      <name val="Aptos Narrow"/>
      <family val="2"/>
      <scheme val="minor"/>
    </font>
    <font>
      <b/>
      <u/>
      <sz val="16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0" fontId="0" fillId="0" borderId="0" xfId="0" applyAlignment="1">
      <alignment horizontal="center"/>
    </xf>
    <xf numFmtId="2" fontId="1" fillId="0" borderId="1" xfId="0" applyNumberFormat="1" applyFont="1" applyBorder="1"/>
    <xf numFmtId="0" fontId="1" fillId="0" borderId="0" xfId="0" applyFont="1" applyAlignment="1">
      <alignment horizontal="left"/>
    </xf>
    <xf numFmtId="0" fontId="3" fillId="0" borderId="0" xfId="0" applyFont="1"/>
    <xf numFmtId="0" fontId="5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/>
    <xf numFmtId="0" fontId="4" fillId="0" borderId="0" xfId="0" applyFont="1" applyAlignment="1">
      <alignment vertical="center"/>
    </xf>
    <xf numFmtId="0" fontId="1" fillId="0" borderId="0" xfId="0" quotePrefix="1" applyFont="1"/>
    <xf numFmtId="0" fontId="6" fillId="0" borderId="0" xfId="0" applyFont="1" applyAlignment="1">
      <alignment horizontal="left" vertical="center" indent="6"/>
    </xf>
    <xf numFmtId="0" fontId="2" fillId="0" borderId="0" xfId="0" applyFont="1" applyAlignment="1">
      <alignment horizontal="left" vertical="center" indent="6"/>
    </xf>
    <xf numFmtId="0" fontId="4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4" fontId="0" fillId="0" borderId="1" xfId="0" applyNumberFormat="1" applyBorder="1"/>
    <xf numFmtId="14" fontId="0" fillId="0" borderId="0" xfId="0" applyNumberFormat="1"/>
    <xf numFmtId="2" fontId="0" fillId="0" borderId="1" xfId="0" applyNumberFormat="1" applyBorder="1" applyAlignment="1">
      <alignment horizontal="right"/>
    </xf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right"/>
    </xf>
    <xf numFmtId="14" fontId="0" fillId="2" borderId="1" xfId="0" applyNumberForma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right"/>
    </xf>
    <xf numFmtId="2" fontId="1" fillId="3" borderId="1" xfId="0" applyNumberFormat="1" applyFont="1" applyFill="1" applyBorder="1"/>
    <xf numFmtId="0" fontId="0" fillId="3" borderId="1" xfId="0" applyFill="1" applyBorder="1" applyAlignment="1">
      <alignment horizontal="center"/>
    </xf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right"/>
    </xf>
    <xf numFmtId="0" fontId="2" fillId="0" borderId="0" xfId="0" applyFont="1" applyAlignment="1">
      <alignment vertical="center"/>
    </xf>
    <xf numFmtId="0" fontId="0" fillId="0" borderId="0" xfId="0" quotePrefix="1"/>
    <xf numFmtId="0" fontId="1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4" xfId="0" applyNumberFormat="1" applyBorder="1"/>
    <xf numFmtId="0" fontId="0" fillId="0" borderId="2" xfId="0" applyBorder="1"/>
    <xf numFmtId="0" fontId="1" fillId="4" borderId="5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5" borderId="10" xfId="0" applyFont="1" applyFill="1" applyBorder="1"/>
    <xf numFmtId="0" fontId="1" fillId="5" borderId="11" xfId="0" applyFont="1" applyFill="1" applyBorder="1"/>
    <xf numFmtId="0" fontId="1" fillId="5" borderId="1" xfId="0" applyFont="1" applyFill="1" applyBorder="1" applyAlignment="1">
      <alignment horizontal="center"/>
    </xf>
    <xf numFmtId="0" fontId="1" fillId="5" borderId="1" xfId="0" applyFont="1" applyFill="1" applyBorder="1"/>
    <xf numFmtId="0" fontId="1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left" vertical="center" wrapText="1"/>
    </xf>
    <xf numFmtId="2" fontId="0" fillId="0" borderId="0" xfId="0" applyNumberForma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vertical="center" wrapText="1"/>
    </xf>
    <xf numFmtId="2" fontId="0" fillId="0" borderId="1" xfId="0" applyNumberForma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1" fillId="3" borderId="1" xfId="0" applyFont="1" applyFill="1" applyBorder="1" applyAlignment="1">
      <alignment horizontal="right"/>
    </xf>
    <xf numFmtId="0" fontId="1" fillId="0" borderId="1" xfId="0" applyFont="1" applyBorder="1"/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1" fillId="5" borderId="1" xfId="0" applyFont="1" applyFill="1" applyBorder="1" applyAlignment="1">
      <alignment horizontal="center"/>
    </xf>
    <xf numFmtId="0" fontId="0" fillId="0" borderId="11" xfId="0" applyBorder="1"/>
    <xf numFmtId="0" fontId="0" fillId="0" borderId="9" xfId="0" applyBorder="1"/>
    <xf numFmtId="14" fontId="0" fillId="0" borderId="8" xfId="0" applyNumberFormat="1" applyBorder="1"/>
    <xf numFmtId="0" fontId="0" fillId="0" borderId="10" xfId="0" applyBorder="1"/>
  </cellXfs>
  <cellStyles count="1">
    <cellStyle name="Normal" xfId="0" builtinId="0"/>
  </cellStyles>
  <dxfs count="2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220980</xdr:colOff>
      <xdr:row>4</xdr:row>
      <xdr:rowOff>45720</xdr:rowOff>
    </xdr:from>
    <xdr:to>
      <xdr:col>9</xdr:col>
      <xdr:colOff>426720</xdr:colOff>
      <xdr:row>4</xdr:row>
      <xdr:rowOff>60960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75E360CE-0CA4-4936-9A2A-27C93E18A956}"/>
            </a:ext>
          </a:extLst>
        </xdr:cNvPr>
        <xdr:cNvCxnSpPr>
          <a:cxnSpLocks/>
        </xdr:cNvCxnSpPr>
      </xdr:nvCxnSpPr>
      <xdr:spPr>
        <a:xfrm>
          <a:off x="220980" y="777240"/>
          <a:ext cx="8031480" cy="1524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  <xdr:twoCellAnchor>
    <xdr:from>
      <xdr:col>0</xdr:col>
      <xdr:colOff>198120</xdr:colOff>
      <xdr:row>49</xdr:row>
      <xdr:rowOff>60960</xdr:rowOff>
    </xdr:from>
    <xdr:to>
      <xdr:col>9</xdr:col>
      <xdr:colOff>365760</xdr:colOff>
      <xdr:row>49</xdr:row>
      <xdr:rowOff>121920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75471270-0963-459F-9AD2-3C4905542467}"/>
            </a:ext>
          </a:extLst>
        </xdr:cNvPr>
        <xdr:cNvCxnSpPr>
          <a:cxnSpLocks/>
        </xdr:cNvCxnSpPr>
      </xdr:nvCxnSpPr>
      <xdr:spPr>
        <a:xfrm>
          <a:off x="198120" y="10881360"/>
          <a:ext cx="7993380" cy="6096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  <xdr:twoCellAnchor editAs="oneCell">
    <xdr:from>
      <xdr:col>1</xdr:col>
      <xdr:colOff>0</xdr:colOff>
      <xdr:row>0</xdr:row>
      <xdr:rowOff>22860</xdr:rowOff>
    </xdr:from>
    <xdr:to>
      <xdr:col>5</xdr:col>
      <xdr:colOff>210820</xdr:colOff>
      <xdr:row>4</xdr:row>
      <xdr:rowOff>76835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9499015-5E35-491F-9086-68A6A99FD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/>
      </xdr:blipFill>
      <xdr:spPr>
        <a:xfrm>
          <a:off x="609600" y="22860"/>
          <a:ext cx="2725420" cy="7854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220980</xdr:colOff>
      <xdr:row>4</xdr:row>
      <xdr:rowOff>45720</xdr:rowOff>
    </xdr:from>
    <xdr:to>
      <xdr:col>9</xdr:col>
      <xdr:colOff>426720</xdr:colOff>
      <xdr:row>4</xdr:row>
      <xdr:rowOff>60960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94299865-BD61-4DC8-88D9-10E430E092BD}"/>
            </a:ext>
          </a:extLst>
        </xdr:cNvPr>
        <xdr:cNvCxnSpPr>
          <a:cxnSpLocks/>
        </xdr:cNvCxnSpPr>
      </xdr:nvCxnSpPr>
      <xdr:spPr>
        <a:xfrm>
          <a:off x="220980" y="777240"/>
          <a:ext cx="8031480" cy="1524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  <xdr:twoCellAnchor>
    <xdr:from>
      <xdr:col>0</xdr:col>
      <xdr:colOff>198120</xdr:colOff>
      <xdr:row>48</xdr:row>
      <xdr:rowOff>60960</xdr:rowOff>
    </xdr:from>
    <xdr:to>
      <xdr:col>9</xdr:col>
      <xdr:colOff>365760</xdr:colOff>
      <xdr:row>48</xdr:row>
      <xdr:rowOff>121920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34B2200C-CF05-4D35-8511-68E512F8F7B4}"/>
            </a:ext>
          </a:extLst>
        </xdr:cNvPr>
        <xdr:cNvCxnSpPr>
          <a:cxnSpLocks/>
        </xdr:cNvCxnSpPr>
      </xdr:nvCxnSpPr>
      <xdr:spPr>
        <a:xfrm>
          <a:off x="198120" y="9753600"/>
          <a:ext cx="7993380" cy="6096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  <xdr:twoCellAnchor editAs="oneCell">
    <xdr:from>
      <xdr:col>1</xdr:col>
      <xdr:colOff>0</xdr:colOff>
      <xdr:row>0</xdr:row>
      <xdr:rowOff>22860</xdr:rowOff>
    </xdr:from>
    <xdr:to>
      <xdr:col>5</xdr:col>
      <xdr:colOff>210820</xdr:colOff>
      <xdr:row>4</xdr:row>
      <xdr:rowOff>76835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18CBF62-0B2A-42C2-8E56-A3E94497E6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/>
      </xdr:blipFill>
      <xdr:spPr>
        <a:xfrm>
          <a:off x="609600" y="22860"/>
          <a:ext cx="2725420" cy="7854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4</xdr:row>
      <xdr:rowOff>91440</xdr:rowOff>
    </xdr:from>
    <xdr:to>
      <xdr:col>10</xdr:col>
      <xdr:colOff>0</xdr:colOff>
      <xdr:row>4</xdr:row>
      <xdr:rowOff>99060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ABD26519-1B7F-4AFE-8626-A56CFB28467D}"/>
            </a:ext>
          </a:extLst>
        </xdr:cNvPr>
        <xdr:cNvCxnSpPr>
          <a:cxnSpLocks/>
        </xdr:cNvCxnSpPr>
      </xdr:nvCxnSpPr>
      <xdr:spPr>
        <a:xfrm>
          <a:off x="152400" y="822960"/>
          <a:ext cx="7162800" cy="762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  <xdr:twoCellAnchor>
    <xdr:from>
      <xdr:col>0</xdr:col>
      <xdr:colOff>129540</xdr:colOff>
      <xdr:row>73</xdr:row>
      <xdr:rowOff>76200</xdr:rowOff>
    </xdr:from>
    <xdr:to>
      <xdr:col>10</xdr:col>
      <xdr:colOff>0</xdr:colOff>
      <xdr:row>73</xdr:row>
      <xdr:rowOff>91440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DDC699ED-D21B-4A7B-9AD1-0231B1FEA95A}"/>
            </a:ext>
          </a:extLst>
        </xdr:cNvPr>
        <xdr:cNvCxnSpPr>
          <a:cxnSpLocks/>
        </xdr:cNvCxnSpPr>
      </xdr:nvCxnSpPr>
      <xdr:spPr>
        <a:xfrm>
          <a:off x="129540" y="11559540"/>
          <a:ext cx="7353300" cy="1524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  <xdr:twoCellAnchor editAs="oneCell">
    <xdr:from>
      <xdr:col>0</xdr:col>
      <xdr:colOff>495300</xdr:colOff>
      <xdr:row>0</xdr:row>
      <xdr:rowOff>22860</xdr:rowOff>
    </xdr:from>
    <xdr:to>
      <xdr:col>5</xdr:col>
      <xdr:colOff>96520</xdr:colOff>
      <xdr:row>4</xdr:row>
      <xdr:rowOff>76835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DF2E03B-B2C8-40C7-814E-2546F9E5C5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/>
      </xdr:blipFill>
      <xdr:spPr>
        <a:xfrm>
          <a:off x="495300" y="22860"/>
          <a:ext cx="2725420" cy="7854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7620</xdr:rowOff>
    </xdr:from>
    <xdr:to>
      <xdr:col>5</xdr:col>
      <xdr:colOff>248920</xdr:colOff>
      <xdr:row>4</xdr:row>
      <xdr:rowOff>31115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60CA18D-693B-4025-8E25-FED9CF4EDF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/>
      </xdr:blipFill>
      <xdr:spPr>
        <a:xfrm>
          <a:off x="647700" y="7620"/>
          <a:ext cx="2725420" cy="785495"/>
        </a:xfrm>
        <a:prstGeom prst="rect">
          <a:avLst/>
        </a:prstGeom>
      </xdr:spPr>
    </xdr:pic>
    <xdr:clientData/>
  </xdr:twoCellAnchor>
  <xdr:twoCellAnchor>
    <xdr:from>
      <xdr:col>0</xdr:col>
      <xdr:colOff>312420</xdr:colOff>
      <xdr:row>4</xdr:row>
      <xdr:rowOff>106680</xdr:rowOff>
    </xdr:from>
    <xdr:to>
      <xdr:col>10</xdr:col>
      <xdr:colOff>449580</xdr:colOff>
      <xdr:row>4</xdr:row>
      <xdr:rowOff>114300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57964B0A-811B-4BA4-890D-B4B38340A34F}"/>
            </a:ext>
          </a:extLst>
        </xdr:cNvPr>
        <xdr:cNvCxnSpPr>
          <a:cxnSpLocks/>
        </xdr:cNvCxnSpPr>
      </xdr:nvCxnSpPr>
      <xdr:spPr>
        <a:xfrm flipV="1">
          <a:off x="312420" y="868680"/>
          <a:ext cx="6461760" cy="762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  <xdr:twoCellAnchor>
    <xdr:from>
      <xdr:col>0</xdr:col>
      <xdr:colOff>281940</xdr:colOff>
      <xdr:row>49</xdr:row>
      <xdr:rowOff>129540</xdr:rowOff>
    </xdr:from>
    <xdr:to>
      <xdr:col>10</xdr:col>
      <xdr:colOff>449580</xdr:colOff>
      <xdr:row>49</xdr:row>
      <xdr:rowOff>160020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6F841FF4-D23A-4049-9A02-B1F57451F04A}"/>
            </a:ext>
          </a:extLst>
        </xdr:cNvPr>
        <xdr:cNvCxnSpPr>
          <a:cxnSpLocks/>
        </xdr:cNvCxnSpPr>
      </xdr:nvCxnSpPr>
      <xdr:spPr>
        <a:xfrm flipV="1">
          <a:off x="281940" y="10629900"/>
          <a:ext cx="6492240" cy="3048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  <xdr:twoCellAnchor editAs="oneCell">
    <xdr:from>
      <xdr:col>6</xdr:col>
      <xdr:colOff>601980</xdr:colOff>
      <xdr:row>35</xdr:row>
      <xdr:rowOff>7620</xdr:rowOff>
    </xdr:from>
    <xdr:to>
      <xdr:col>10</xdr:col>
      <xdr:colOff>99060</xdr:colOff>
      <xdr:row>40</xdr:row>
      <xdr:rowOff>121920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8A4C333-40F6-23E6-0E66-635EA64312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83794">
          <a:off x="4335780" y="6987540"/>
          <a:ext cx="2087880" cy="1043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7620</xdr:rowOff>
    </xdr:from>
    <xdr:to>
      <xdr:col>5</xdr:col>
      <xdr:colOff>248920</xdr:colOff>
      <xdr:row>4</xdr:row>
      <xdr:rowOff>31115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E183C3-CCA8-F98F-F125-FFA3E51B40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/>
      </xdr:blipFill>
      <xdr:spPr>
        <a:xfrm>
          <a:off x="647700" y="190500"/>
          <a:ext cx="2725420" cy="785495"/>
        </a:xfrm>
        <a:prstGeom prst="rect">
          <a:avLst/>
        </a:prstGeom>
      </xdr:spPr>
    </xdr:pic>
    <xdr:clientData/>
  </xdr:twoCellAnchor>
  <xdr:twoCellAnchor>
    <xdr:from>
      <xdr:col>0</xdr:col>
      <xdr:colOff>312420</xdr:colOff>
      <xdr:row>4</xdr:row>
      <xdr:rowOff>106680</xdr:rowOff>
    </xdr:from>
    <xdr:to>
      <xdr:col>10</xdr:col>
      <xdr:colOff>449580</xdr:colOff>
      <xdr:row>4</xdr:row>
      <xdr:rowOff>114300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CD72E0CA-AAFA-6E92-7906-2C775282EAB1}"/>
            </a:ext>
          </a:extLst>
        </xdr:cNvPr>
        <xdr:cNvCxnSpPr>
          <a:cxnSpLocks/>
        </xdr:cNvCxnSpPr>
      </xdr:nvCxnSpPr>
      <xdr:spPr>
        <a:xfrm flipV="1">
          <a:off x="312420" y="868680"/>
          <a:ext cx="6461760" cy="762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  <xdr:twoCellAnchor>
    <xdr:from>
      <xdr:col>7</xdr:col>
      <xdr:colOff>200920</xdr:colOff>
      <xdr:row>41</xdr:row>
      <xdr:rowOff>177676</xdr:rowOff>
    </xdr:from>
    <xdr:to>
      <xdr:col>10</xdr:col>
      <xdr:colOff>109480</xdr:colOff>
      <xdr:row>47</xdr:row>
      <xdr:rowOff>27217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5ECA445-7D4F-3469-94FA-1818BC32E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14"/>
        <a:stretch>
          <a:fillRect/>
        </a:stretch>
      </xdr:blipFill>
      <xdr:spPr bwMode="auto">
        <a:xfrm rot="-547056">
          <a:off x="4544320" y="6928996"/>
          <a:ext cx="1889760" cy="9773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281940</xdr:colOff>
      <xdr:row>56</xdr:row>
      <xdr:rowOff>129540</xdr:rowOff>
    </xdr:from>
    <xdr:to>
      <xdr:col>10</xdr:col>
      <xdr:colOff>449580</xdr:colOff>
      <xdr:row>56</xdr:row>
      <xdr:rowOff>160020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E216DB2C-12DE-D6D7-5E52-43D1B7890B1E}"/>
            </a:ext>
          </a:extLst>
        </xdr:cNvPr>
        <xdr:cNvCxnSpPr>
          <a:cxnSpLocks/>
        </xdr:cNvCxnSpPr>
      </xdr:nvCxnSpPr>
      <xdr:spPr>
        <a:xfrm flipV="1">
          <a:off x="281940" y="9669780"/>
          <a:ext cx="6492240" cy="3048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91440</xdr:rowOff>
    </xdr:from>
    <xdr:to>
      <xdr:col>4</xdr:col>
      <xdr:colOff>187960</xdr:colOff>
      <xdr:row>4</xdr:row>
      <xdr:rowOff>114935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1933E8F-039B-4325-BBC0-69ABB773C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/>
      </xdr:blipFill>
      <xdr:spPr>
        <a:xfrm>
          <a:off x="609600" y="91440"/>
          <a:ext cx="2725420" cy="78549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0</xdr:rowOff>
    </xdr:from>
    <xdr:to>
      <xdr:col>9</xdr:col>
      <xdr:colOff>579120</xdr:colOff>
      <xdr:row>5</xdr:row>
      <xdr:rowOff>7620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FABF35EC-F0D1-4532-8BF8-5C0FE293E959}"/>
            </a:ext>
          </a:extLst>
        </xdr:cNvPr>
        <xdr:cNvCxnSpPr>
          <a:cxnSpLocks/>
        </xdr:cNvCxnSpPr>
      </xdr:nvCxnSpPr>
      <xdr:spPr>
        <a:xfrm flipV="1">
          <a:off x="0" y="944880"/>
          <a:ext cx="6164580" cy="762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  <xdr:twoCellAnchor>
    <xdr:from>
      <xdr:col>0</xdr:col>
      <xdr:colOff>0</xdr:colOff>
      <xdr:row>55</xdr:row>
      <xdr:rowOff>137160</xdr:rowOff>
    </xdr:from>
    <xdr:to>
      <xdr:col>9</xdr:col>
      <xdr:colOff>518160</xdr:colOff>
      <xdr:row>55</xdr:row>
      <xdr:rowOff>160020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CF6832E-E893-42A5-A2E7-17842C950DCE}"/>
            </a:ext>
          </a:extLst>
        </xdr:cNvPr>
        <xdr:cNvCxnSpPr>
          <a:cxnSpLocks/>
        </xdr:cNvCxnSpPr>
      </xdr:nvCxnSpPr>
      <xdr:spPr>
        <a:xfrm flipV="1">
          <a:off x="0" y="10492740"/>
          <a:ext cx="6103620" cy="2286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02E77A-EB21-4B8A-9792-42662BF7338F}" name="Table1" displayName="Table1" ref="A3:E18" totalsRowShown="0" headerRowDxfId="21" headerRowBorderDxfId="20" tableBorderDxfId="19" totalsRowBorderDxfId="18">
  <autoFilter ref="A3:E18" xr:uid="{1702E77A-EB21-4B8A-9792-42662BF7338F}"/>
  <tableColumns count="5">
    <tableColumn id="1" xr3:uid="{0FA13ED2-CC50-44D1-85F5-0B5147888274}" name="Date" dataDxfId="17"/>
    <tableColumn id="2" xr3:uid="{CB89AE2F-F85B-4DCB-96EC-E7B9F7164024}" name="Description" dataDxfId="16"/>
    <tableColumn id="3" xr3:uid="{E3C6ED6D-EA75-4D7E-A915-96B659EE793F}" name="Received" dataDxfId="15"/>
    <tableColumn id="4" xr3:uid="{5D233B0C-B2F7-49AF-B034-B6D9C07D362D}" name="Spends" dataDxfId="14"/>
    <tableColumn id="5" xr3:uid="{35AAFBBF-8666-4BD8-8B10-77A43E0B52AA}" name="To Receive" dataDxfId="13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0F0698-5601-4FAA-A9CB-E36122A1A439}" name="Table2" displayName="Table2" ref="A21:E30" totalsRowShown="0" headerRowDxfId="12" headerRowBorderDxfId="11" tableBorderDxfId="10">
  <autoFilter ref="A21:E30" xr:uid="{330F0698-5601-4FAA-A9CB-E36122A1A439}"/>
  <tableColumns count="5">
    <tableColumn id="1" xr3:uid="{BF310956-1A5D-47AD-ADF0-2B1EAA4CB092}" name="Date" dataDxfId="9"/>
    <tableColumn id="2" xr3:uid="{F65D2760-2A8D-4446-9E42-4BE934A83957}" name="Description"/>
    <tableColumn id="3" xr3:uid="{9A144D70-098B-4302-9862-4B81CF8EDFBA}" name="Bappa"/>
    <tableColumn id="4" xr3:uid="{E08A19AE-BB60-4819-BE9D-8A54142197FE}" name="Siva"/>
    <tableColumn id="5" xr3:uid="{C446CC0E-176F-439A-B40C-55DF0C1F2160}" name="To Give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6AACED-77D4-496B-A41B-0949C40F5F32}" name="Table14" displayName="Table14" ref="A33:E44" totalsRowShown="0" headerRowDxfId="8" headerRowBorderDxfId="7" tableBorderDxfId="6" totalsRowBorderDxfId="5">
  <autoFilter ref="A33:E44" xr:uid="{476AACED-77D4-496B-A41B-0949C40F5F32}"/>
  <tableColumns count="5">
    <tableColumn id="1" xr3:uid="{2AE5A372-E336-4931-BD6C-B123CD8EB549}" name="Date" dataDxfId="4"/>
    <tableColumn id="2" xr3:uid="{6894C526-B2F2-4F54-A6D2-B4F6AB161052}" name="Description" dataDxfId="3"/>
    <tableColumn id="3" xr3:uid="{C2A380FD-F4CD-476B-8F83-114F9DE2D4A7}" name="Received" dataDxfId="2"/>
    <tableColumn id="4" xr3:uid="{C45E3EFE-EDC0-4C73-89B5-B35527E09BBA}" name="Spends" dataDxfId="1"/>
    <tableColumn id="5" xr3:uid="{2688CED6-8F0C-43F4-A609-66D9A1CE132D}" name="To Receive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B62DE-30C6-4C9D-A7B6-E19ED99DF015}">
  <sheetPr codeName="Sheet8">
    <pageSetUpPr fitToPage="1"/>
  </sheetPr>
  <dimension ref="A1:I54"/>
  <sheetViews>
    <sheetView topLeftCell="A31" zoomScaleNormal="100" zoomScaleSheetLayoutView="100" workbookViewId="0">
      <selection activeCell="B39" sqref="B39:C40"/>
    </sheetView>
  </sheetViews>
  <sheetFormatPr defaultRowHeight="14.4" x14ac:dyDescent="0.3"/>
  <cols>
    <col min="2" max="2" width="10" bestFit="1" customWidth="1"/>
    <col min="6" max="6" width="12.5546875" bestFit="1" customWidth="1"/>
    <col min="7" max="7" width="17.33203125" bestFit="1" customWidth="1"/>
    <col min="8" max="8" width="9.77734375" bestFit="1" customWidth="1"/>
    <col min="9" max="9" width="28.88671875" customWidth="1"/>
  </cols>
  <sheetData>
    <row r="1" spans="1:9" ht="14.4" customHeight="1" x14ac:dyDescent="0.3">
      <c r="G1" s="64" t="s">
        <v>75</v>
      </c>
      <c r="H1" s="64"/>
      <c r="I1" s="64"/>
    </row>
    <row r="2" spans="1:9" x14ac:dyDescent="0.3">
      <c r="G2" s="64"/>
      <c r="H2" s="64"/>
      <c r="I2" s="64"/>
    </row>
    <row r="3" spans="1:9" x14ac:dyDescent="0.3">
      <c r="G3" s="64"/>
      <c r="H3" s="64"/>
      <c r="I3" s="64"/>
    </row>
    <row r="4" spans="1:9" x14ac:dyDescent="0.3">
      <c r="G4" s="64"/>
      <c r="H4" s="64"/>
      <c r="I4" s="64"/>
    </row>
    <row r="6" spans="1:9" ht="21" x14ac:dyDescent="0.3">
      <c r="B6" s="65" t="s">
        <v>64</v>
      </c>
      <c r="C6" s="65"/>
      <c r="D6" s="65"/>
      <c r="E6" s="65"/>
      <c r="F6" s="65"/>
      <c r="G6" s="65"/>
      <c r="H6" s="65"/>
      <c r="I6" s="65"/>
    </row>
    <row r="7" spans="1:9" ht="21" x14ac:dyDescent="0.3">
      <c r="A7" s="50"/>
      <c r="C7" s="50"/>
      <c r="D7" s="50"/>
      <c r="E7" s="50"/>
      <c r="F7" s="50"/>
      <c r="G7" s="50"/>
      <c r="H7" s="50"/>
      <c r="I7" s="50"/>
    </row>
    <row r="8" spans="1:9" ht="21" x14ac:dyDescent="0.3">
      <c r="B8" s="50"/>
      <c r="C8" s="50"/>
      <c r="D8" s="50"/>
      <c r="E8" s="50"/>
      <c r="F8" s="50"/>
      <c r="G8" s="50"/>
      <c r="H8" s="50"/>
      <c r="I8" s="50"/>
    </row>
    <row r="10" spans="1:9" ht="15.6" x14ac:dyDescent="0.3">
      <c r="B10" t="s">
        <v>65</v>
      </c>
      <c r="C10" s="12" t="s">
        <v>152</v>
      </c>
    </row>
    <row r="12" spans="1:9" ht="15.6" x14ac:dyDescent="0.3">
      <c r="B12" s="13" t="s">
        <v>73</v>
      </c>
      <c r="G12" s="12"/>
    </row>
    <row r="13" spans="1:9" ht="15.6" x14ac:dyDescent="0.3">
      <c r="B13" s="31" t="s">
        <v>153</v>
      </c>
      <c r="G13" s="20"/>
    </row>
    <row r="14" spans="1:9" x14ac:dyDescent="0.3">
      <c r="B14" t="s">
        <v>154</v>
      </c>
    </row>
    <row r="15" spans="1:9" x14ac:dyDescent="0.3">
      <c r="B15" s="32" t="s">
        <v>62</v>
      </c>
    </row>
    <row r="16" spans="1:9" x14ac:dyDescent="0.3">
      <c r="B16" t="s">
        <v>155</v>
      </c>
    </row>
    <row r="17" spans="2:9" x14ac:dyDescent="0.3">
      <c r="B17" s="14" t="s">
        <v>156</v>
      </c>
    </row>
    <row r="18" spans="2:9" x14ac:dyDescent="0.3">
      <c r="B18" s="14"/>
    </row>
    <row r="19" spans="2:9" x14ac:dyDescent="0.3">
      <c r="B19" s="14"/>
    </row>
    <row r="20" spans="2:9" ht="15.6" x14ac:dyDescent="0.3">
      <c r="E20" s="33" t="s">
        <v>144</v>
      </c>
    </row>
    <row r="21" spans="2:9" ht="15.6" x14ac:dyDescent="0.3">
      <c r="E21" s="33"/>
    </row>
    <row r="22" spans="2:9" x14ac:dyDescent="0.3">
      <c r="B22" s="14"/>
    </row>
    <row r="23" spans="2:9" x14ac:dyDescent="0.3">
      <c r="B23" s="2" t="s">
        <v>72</v>
      </c>
    </row>
    <row r="24" spans="2:9" x14ac:dyDescent="0.3">
      <c r="B24" s="2"/>
    </row>
    <row r="25" spans="2:9" x14ac:dyDescent="0.3">
      <c r="B25" s="2"/>
      <c r="C25" t="s">
        <v>119</v>
      </c>
    </row>
    <row r="26" spans="2:9" x14ac:dyDescent="0.3">
      <c r="B26" t="s">
        <v>120</v>
      </c>
    </row>
    <row r="28" spans="2:9" x14ac:dyDescent="0.3">
      <c r="B28" s="2"/>
    </row>
    <row r="29" spans="2:9" s="6" customFormat="1" x14ac:dyDescent="0.3">
      <c r="B29" s="3" t="s">
        <v>12</v>
      </c>
      <c r="C29" s="59" t="s">
        <v>16</v>
      </c>
      <c r="D29" s="59"/>
      <c r="E29" s="59"/>
      <c r="F29" s="3" t="s">
        <v>128</v>
      </c>
      <c r="G29" s="3" t="s">
        <v>129</v>
      </c>
      <c r="H29" s="3" t="s">
        <v>130</v>
      </c>
      <c r="I29" s="3" t="s">
        <v>131</v>
      </c>
    </row>
    <row r="30" spans="2:9" s="38" customFormat="1" ht="62.4" customHeight="1" x14ac:dyDescent="0.3">
      <c r="B30" s="35">
        <v>1</v>
      </c>
      <c r="C30" s="66" t="s">
        <v>137</v>
      </c>
      <c r="D30" s="66"/>
      <c r="E30" s="66"/>
      <c r="F30" s="57" t="s">
        <v>132</v>
      </c>
      <c r="G30" s="35" t="s">
        <v>133</v>
      </c>
      <c r="H30" s="35" t="s">
        <v>134</v>
      </c>
      <c r="I30" s="58" t="s">
        <v>138</v>
      </c>
    </row>
    <row r="31" spans="2:9" s="38" customFormat="1" ht="57" customHeight="1" x14ac:dyDescent="0.3">
      <c r="B31" s="35">
        <v>2</v>
      </c>
      <c r="C31" s="66" t="s">
        <v>157</v>
      </c>
      <c r="D31" s="66"/>
      <c r="E31" s="66"/>
      <c r="F31" s="57" t="s">
        <v>132</v>
      </c>
      <c r="G31" s="35" t="s">
        <v>133</v>
      </c>
      <c r="H31" s="35" t="s">
        <v>135</v>
      </c>
      <c r="I31" s="58" t="s">
        <v>136</v>
      </c>
    </row>
    <row r="32" spans="2:9" s="38" customFormat="1" ht="57.6" customHeight="1" x14ac:dyDescent="0.3">
      <c r="B32" s="35">
        <v>3</v>
      </c>
      <c r="C32" s="66" t="s">
        <v>158</v>
      </c>
      <c r="D32" s="66"/>
      <c r="E32" s="66"/>
      <c r="F32" s="57" t="s">
        <v>132</v>
      </c>
      <c r="G32" s="35" t="s">
        <v>133</v>
      </c>
      <c r="H32" s="35" t="s">
        <v>140</v>
      </c>
      <c r="I32" s="58" t="s">
        <v>139</v>
      </c>
    </row>
    <row r="33" spans="2:9" s="38" customFormat="1" ht="14.4" customHeight="1" x14ac:dyDescent="0.3">
      <c r="C33" s="52"/>
      <c r="D33" s="52"/>
      <c r="E33" s="52"/>
      <c r="F33" s="52"/>
      <c r="H33" s="56"/>
      <c r="I33" s="53"/>
    </row>
    <row r="34" spans="2:9" s="38" customFormat="1" ht="14.4" customHeight="1" x14ac:dyDescent="0.3">
      <c r="C34" s="52"/>
      <c r="D34" s="52"/>
      <c r="E34" s="52"/>
      <c r="F34" s="52"/>
      <c r="H34" s="56"/>
      <c r="I34" s="53"/>
    </row>
    <row r="35" spans="2:9" x14ac:dyDescent="0.3">
      <c r="B35" t="s">
        <v>63</v>
      </c>
    </row>
    <row r="39" spans="2:9" ht="15.6" x14ac:dyDescent="0.3">
      <c r="B39" s="15" t="s">
        <v>25</v>
      </c>
    </row>
    <row r="40" spans="2:9" ht="15.6" x14ac:dyDescent="0.3">
      <c r="B40" s="15" t="s">
        <v>27</v>
      </c>
    </row>
    <row r="41" spans="2:9" ht="15" x14ac:dyDescent="0.3">
      <c r="B41" s="15"/>
    </row>
    <row r="42" spans="2:9" ht="15" x14ac:dyDescent="0.3">
      <c r="B42" s="15"/>
    </row>
    <row r="44" spans="2:9" x14ac:dyDescent="0.3">
      <c r="B44" s="2" t="s">
        <v>66</v>
      </c>
    </row>
    <row r="45" spans="2:9" x14ac:dyDescent="0.3">
      <c r="B45" t="s">
        <v>67</v>
      </c>
    </row>
    <row r="46" spans="2:9" x14ac:dyDescent="0.3">
      <c r="B46" t="s">
        <v>68</v>
      </c>
    </row>
    <row r="47" spans="2:9" x14ac:dyDescent="0.3">
      <c r="B47" t="s">
        <v>69</v>
      </c>
    </row>
    <row r="48" spans="2:9" x14ac:dyDescent="0.3">
      <c r="B48" t="s">
        <v>70</v>
      </c>
    </row>
    <row r="49" spans="2:9" x14ac:dyDescent="0.3">
      <c r="B49" s="32" t="s">
        <v>71</v>
      </c>
    </row>
    <row r="50" spans="2:9" ht="14.4" customHeight="1" x14ac:dyDescent="0.3">
      <c r="B50" s="63" t="s">
        <v>74</v>
      </c>
      <c r="C50" s="63"/>
      <c r="D50" s="63"/>
      <c r="E50" s="63"/>
      <c r="F50" s="63"/>
      <c r="G50" s="63"/>
      <c r="H50" s="63"/>
      <c r="I50" s="63"/>
    </row>
    <row r="51" spans="2:9" x14ac:dyDescent="0.3">
      <c r="B51" s="63"/>
      <c r="C51" s="63"/>
      <c r="D51" s="63"/>
      <c r="E51" s="63"/>
      <c r="F51" s="63"/>
      <c r="G51" s="63"/>
      <c r="H51" s="63"/>
      <c r="I51" s="63"/>
    </row>
    <row r="52" spans="2:9" x14ac:dyDescent="0.3">
      <c r="B52" s="63"/>
      <c r="C52" s="63"/>
      <c r="D52" s="63"/>
      <c r="E52" s="63"/>
      <c r="F52" s="63"/>
      <c r="G52" s="63"/>
      <c r="H52" s="63"/>
      <c r="I52" s="63"/>
    </row>
    <row r="53" spans="2:9" x14ac:dyDescent="0.3">
      <c r="C53" s="18"/>
    </row>
    <row r="54" spans="2:9" x14ac:dyDescent="0.3">
      <c r="C54" s="18"/>
    </row>
  </sheetData>
  <mergeCells count="7">
    <mergeCell ref="B50:I52"/>
    <mergeCell ref="G1:I4"/>
    <mergeCell ref="B6:I6"/>
    <mergeCell ref="C29:E29"/>
    <mergeCell ref="C30:E30"/>
    <mergeCell ref="C31:E31"/>
    <mergeCell ref="C32:E32"/>
  </mergeCells>
  <printOptions horizontalCentered="1" verticalCentered="1"/>
  <pageMargins left="0" right="0" top="0" bottom="0" header="0.31496062992125984" footer="0.31496062992125984"/>
  <pageSetup paperSize="9" scale="85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AAF0B-3781-469A-9EEF-BF4C1FCA9417}">
  <sheetPr codeName="Sheet7">
    <pageSetUpPr fitToPage="1"/>
  </sheetPr>
  <dimension ref="A1:I53"/>
  <sheetViews>
    <sheetView view="pageBreakPreview" topLeftCell="A24" zoomScaleNormal="100" zoomScaleSheetLayoutView="100" workbookViewId="0">
      <selection activeCell="I38" sqref="I38"/>
    </sheetView>
  </sheetViews>
  <sheetFormatPr defaultRowHeight="14.4" x14ac:dyDescent="0.3"/>
  <cols>
    <col min="2" max="2" width="10" bestFit="1" customWidth="1"/>
    <col min="6" max="6" width="12.5546875" bestFit="1" customWidth="1"/>
    <col min="7" max="7" width="17.33203125" bestFit="1" customWidth="1"/>
    <col min="8" max="8" width="9.77734375" bestFit="1" customWidth="1"/>
    <col min="9" max="9" width="28.88671875" customWidth="1"/>
  </cols>
  <sheetData>
    <row r="1" spans="1:9" ht="14.4" customHeight="1" x14ac:dyDescent="0.3">
      <c r="G1" s="64" t="s">
        <v>75</v>
      </c>
      <c r="H1" s="64"/>
      <c r="I1" s="64"/>
    </row>
    <row r="2" spans="1:9" x14ac:dyDescent="0.3">
      <c r="G2" s="64"/>
      <c r="H2" s="64"/>
      <c r="I2" s="64"/>
    </row>
    <row r="3" spans="1:9" x14ac:dyDescent="0.3">
      <c r="G3" s="64"/>
      <c r="H3" s="64"/>
      <c r="I3" s="64"/>
    </row>
    <row r="4" spans="1:9" x14ac:dyDescent="0.3">
      <c r="G4" s="64"/>
      <c r="H4" s="64"/>
      <c r="I4" s="64"/>
    </row>
    <row r="6" spans="1:9" ht="21" x14ac:dyDescent="0.3">
      <c r="B6" s="65" t="s">
        <v>64</v>
      </c>
      <c r="C6" s="65"/>
      <c r="D6" s="65"/>
      <c r="E6" s="65"/>
      <c r="F6" s="65"/>
      <c r="G6" s="65"/>
      <c r="H6" s="65"/>
      <c r="I6" s="65"/>
    </row>
    <row r="7" spans="1:9" ht="21" x14ac:dyDescent="0.3">
      <c r="A7" s="50"/>
      <c r="C7" s="50"/>
      <c r="D7" s="50"/>
      <c r="E7" s="50"/>
      <c r="F7" s="50"/>
      <c r="G7" s="50"/>
      <c r="H7" s="50"/>
      <c r="I7" s="50"/>
    </row>
    <row r="8" spans="1:9" ht="21" x14ac:dyDescent="0.3">
      <c r="B8" s="50"/>
      <c r="C8" s="50"/>
      <c r="D8" s="50"/>
      <c r="E8" s="50"/>
      <c r="F8" s="50"/>
      <c r="G8" s="50"/>
      <c r="H8" s="50"/>
      <c r="I8" s="50"/>
    </row>
    <row r="10" spans="1:9" ht="15.6" x14ac:dyDescent="0.3">
      <c r="B10" t="s">
        <v>65</v>
      </c>
      <c r="C10" s="12" t="s">
        <v>145</v>
      </c>
    </row>
    <row r="12" spans="1:9" ht="15.6" x14ac:dyDescent="0.3">
      <c r="B12" s="13" t="s">
        <v>73</v>
      </c>
      <c r="G12" s="12"/>
    </row>
    <row r="13" spans="1:9" ht="15.6" x14ac:dyDescent="0.3">
      <c r="B13" s="31" t="s">
        <v>159</v>
      </c>
      <c r="G13" s="20"/>
    </row>
    <row r="14" spans="1:9" x14ac:dyDescent="0.3">
      <c r="B14" t="s">
        <v>123</v>
      </c>
    </row>
    <row r="15" spans="1:9" x14ac:dyDescent="0.3">
      <c r="B15" s="32" t="s">
        <v>62</v>
      </c>
    </row>
    <row r="16" spans="1:9" x14ac:dyDescent="0.3">
      <c r="B16" s="14" t="s">
        <v>143</v>
      </c>
    </row>
    <row r="17" spans="2:9" x14ac:dyDescent="0.3">
      <c r="B17" s="14"/>
    </row>
    <row r="18" spans="2:9" x14ac:dyDescent="0.3">
      <c r="B18" s="14"/>
    </row>
    <row r="19" spans="2:9" x14ac:dyDescent="0.3">
      <c r="B19" s="14"/>
    </row>
    <row r="20" spans="2:9" ht="15.6" x14ac:dyDescent="0.3">
      <c r="E20" s="33" t="s">
        <v>144</v>
      </c>
    </row>
    <row r="21" spans="2:9" ht="15.6" x14ac:dyDescent="0.3">
      <c r="E21" s="33"/>
    </row>
    <row r="22" spans="2:9" ht="15.6" x14ac:dyDescent="0.3">
      <c r="E22" s="33"/>
    </row>
    <row r="23" spans="2:9" x14ac:dyDescent="0.3">
      <c r="B23" s="14"/>
    </row>
    <row r="24" spans="2:9" x14ac:dyDescent="0.3">
      <c r="B24" s="2" t="s">
        <v>72</v>
      </c>
    </row>
    <row r="25" spans="2:9" x14ac:dyDescent="0.3">
      <c r="B25" s="2"/>
      <c r="C25" t="s">
        <v>119</v>
      </c>
    </row>
    <row r="26" spans="2:9" x14ac:dyDescent="0.3">
      <c r="B26" t="s">
        <v>120</v>
      </c>
    </row>
    <row r="28" spans="2:9" x14ac:dyDescent="0.3">
      <c r="B28" s="2"/>
    </row>
    <row r="29" spans="2:9" s="6" customFormat="1" x14ac:dyDescent="0.3">
      <c r="B29" s="3" t="s">
        <v>12</v>
      </c>
      <c r="C29" s="59" t="s">
        <v>16</v>
      </c>
      <c r="D29" s="59"/>
      <c r="E29" s="59"/>
      <c r="F29" s="3" t="s">
        <v>128</v>
      </c>
      <c r="G29" s="3" t="s">
        <v>129</v>
      </c>
      <c r="H29" s="3" t="s">
        <v>130</v>
      </c>
      <c r="I29" s="3" t="s">
        <v>131</v>
      </c>
    </row>
    <row r="30" spans="2:9" s="38" customFormat="1" ht="62.4" customHeight="1" x14ac:dyDescent="0.3">
      <c r="B30" s="35">
        <v>1</v>
      </c>
      <c r="C30" s="66" t="s">
        <v>137</v>
      </c>
      <c r="D30" s="66"/>
      <c r="E30" s="66"/>
      <c r="F30" s="57" t="s">
        <v>132</v>
      </c>
      <c r="G30" s="35" t="s">
        <v>133</v>
      </c>
      <c r="H30" s="35" t="s">
        <v>134</v>
      </c>
      <c r="I30" s="58" t="s">
        <v>138</v>
      </c>
    </row>
    <row r="31" spans="2:9" s="38" customFormat="1" ht="57" customHeight="1" x14ac:dyDescent="0.3">
      <c r="B31" s="35">
        <v>2</v>
      </c>
      <c r="C31" s="66" t="s">
        <v>142</v>
      </c>
      <c r="D31" s="66"/>
      <c r="E31" s="66"/>
      <c r="F31" s="57" t="s">
        <v>132</v>
      </c>
      <c r="G31" s="35" t="s">
        <v>133</v>
      </c>
      <c r="H31" s="35" t="s">
        <v>135</v>
      </c>
      <c r="I31" s="58" t="s">
        <v>136</v>
      </c>
    </row>
    <row r="32" spans="2:9" s="38" customFormat="1" ht="57.6" customHeight="1" x14ac:dyDescent="0.3">
      <c r="B32" s="35">
        <v>3</v>
      </c>
      <c r="C32" s="66" t="s">
        <v>141</v>
      </c>
      <c r="D32" s="66"/>
      <c r="E32" s="66"/>
      <c r="F32" s="57" t="s">
        <v>132</v>
      </c>
      <c r="G32" s="35" t="s">
        <v>133</v>
      </c>
      <c r="H32" s="35" t="s">
        <v>140</v>
      </c>
      <c r="I32" s="58" t="s">
        <v>139</v>
      </c>
    </row>
    <row r="33" spans="2:9" s="38" customFormat="1" ht="14.4" customHeight="1" x14ac:dyDescent="0.3">
      <c r="C33" s="52"/>
      <c r="D33" s="52"/>
      <c r="E33" s="52"/>
      <c r="F33" s="52"/>
      <c r="H33" s="56"/>
      <c r="I33" s="53"/>
    </row>
    <row r="34" spans="2:9" s="38" customFormat="1" ht="14.4" customHeight="1" x14ac:dyDescent="0.3">
      <c r="C34" s="52"/>
      <c r="D34" s="52"/>
      <c r="E34" s="52"/>
      <c r="F34" s="52"/>
      <c r="H34" s="56"/>
      <c r="I34" s="53"/>
    </row>
    <row r="35" spans="2:9" x14ac:dyDescent="0.3">
      <c r="B35" t="s">
        <v>63</v>
      </c>
    </row>
    <row r="39" spans="2:9" x14ac:dyDescent="0.3">
      <c r="B39" s="2" t="s">
        <v>66</v>
      </c>
    </row>
    <row r="40" spans="2:9" x14ac:dyDescent="0.3">
      <c r="B40" t="s">
        <v>67</v>
      </c>
    </row>
    <row r="41" spans="2:9" x14ac:dyDescent="0.3">
      <c r="B41" t="s">
        <v>68</v>
      </c>
    </row>
    <row r="42" spans="2:9" x14ac:dyDescent="0.3">
      <c r="B42" t="s">
        <v>69</v>
      </c>
    </row>
    <row r="43" spans="2:9" x14ac:dyDescent="0.3">
      <c r="B43" t="s">
        <v>70</v>
      </c>
    </row>
    <row r="44" spans="2:9" x14ac:dyDescent="0.3">
      <c r="B44" s="32" t="s">
        <v>71</v>
      </c>
    </row>
    <row r="45" spans="2:9" x14ac:dyDescent="0.3">
      <c r="B45" s="32"/>
    </row>
    <row r="46" spans="2:9" x14ac:dyDescent="0.3">
      <c r="B46" s="32"/>
    </row>
    <row r="47" spans="2:9" x14ac:dyDescent="0.3">
      <c r="B47" s="32"/>
    </row>
    <row r="48" spans="2:9" x14ac:dyDescent="0.3">
      <c r="B48" s="2"/>
    </row>
    <row r="49" spans="2:9" ht="14.4" customHeight="1" x14ac:dyDescent="0.3">
      <c r="B49" s="63" t="s">
        <v>74</v>
      </c>
      <c r="C49" s="63"/>
      <c r="D49" s="63"/>
      <c r="E49" s="63"/>
      <c r="F49" s="63"/>
      <c r="G49" s="63"/>
      <c r="H49" s="63"/>
      <c r="I49" s="63"/>
    </row>
    <row r="50" spans="2:9" x14ac:dyDescent="0.3">
      <c r="B50" s="63"/>
      <c r="C50" s="63"/>
      <c r="D50" s="63"/>
      <c r="E50" s="63"/>
      <c r="F50" s="63"/>
      <c r="G50" s="63"/>
      <c r="H50" s="63"/>
      <c r="I50" s="63"/>
    </row>
    <row r="51" spans="2:9" x14ac:dyDescent="0.3">
      <c r="B51" s="63"/>
      <c r="C51" s="63"/>
      <c r="D51" s="63"/>
      <c r="E51" s="63"/>
      <c r="F51" s="63"/>
      <c r="G51" s="63"/>
      <c r="H51" s="63"/>
      <c r="I51" s="63"/>
    </row>
    <row r="52" spans="2:9" x14ac:dyDescent="0.3">
      <c r="C52" s="18"/>
    </row>
    <row r="53" spans="2:9" x14ac:dyDescent="0.3">
      <c r="C53" s="18"/>
    </row>
  </sheetData>
  <mergeCells count="7">
    <mergeCell ref="G1:I4"/>
    <mergeCell ref="B6:I6"/>
    <mergeCell ref="B49:I51"/>
    <mergeCell ref="C29:E29"/>
    <mergeCell ref="C30:E30"/>
    <mergeCell ref="C31:E31"/>
    <mergeCell ref="C32:E32"/>
  </mergeCells>
  <printOptions horizontalCentered="1" verticalCentered="1"/>
  <pageMargins left="0" right="0" top="0" bottom="0" header="0.31496062992125984" footer="0.31496062992125984"/>
  <pageSetup paperSize="9" scale="85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71E39-B80E-47BE-9B5F-2CF94C17C63E}">
  <sheetPr codeName="Sheet6">
    <pageSetUpPr fitToPage="1"/>
  </sheetPr>
  <dimension ref="A1:J78"/>
  <sheetViews>
    <sheetView view="pageBreakPreview" topLeftCell="A25" zoomScaleNormal="100" zoomScaleSheetLayoutView="100" workbookViewId="0">
      <selection activeCell="I13" sqref="I13"/>
    </sheetView>
  </sheetViews>
  <sheetFormatPr defaultRowHeight="14.4" x14ac:dyDescent="0.3"/>
  <cols>
    <col min="2" max="2" width="10" bestFit="1" customWidth="1"/>
    <col min="7" max="7" width="17.33203125" bestFit="1" customWidth="1"/>
    <col min="8" max="8" width="7.6640625" customWidth="1"/>
    <col min="9" max="9" width="16.33203125" customWidth="1"/>
    <col min="10" max="10" width="19.5546875" customWidth="1"/>
  </cols>
  <sheetData>
    <row r="1" spans="1:10" ht="14.4" customHeight="1" x14ac:dyDescent="0.3">
      <c r="G1" s="64" t="s">
        <v>75</v>
      </c>
      <c r="H1" s="64"/>
      <c r="I1" s="64"/>
      <c r="J1" s="64"/>
    </row>
    <row r="2" spans="1:10" x14ac:dyDescent="0.3">
      <c r="G2" s="64"/>
      <c r="H2" s="64"/>
      <c r="I2" s="64"/>
      <c r="J2" s="64"/>
    </row>
    <row r="3" spans="1:10" x14ac:dyDescent="0.3">
      <c r="G3" s="64"/>
      <c r="H3" s="64"/>
      <c r="I3" s="64"/>
      <c r="J3" s="64"/>
    </row>
    <row r="4" spans="1:10" x14ac:dyDescent="0.3">
      <c r="G4" s="64"/>
      <c r="H4" s="64"/>
      <c r="I4" s="64"/>
      <c r="J4" s="64"/>
    </row>
    <row r="6" spans="1:10" ht="21" x14ac:dyDescent="0.3">
      <c r="A6" s="65" t="s">
        <v>64</v>
      </c>
      <c r="B6" s="65"/>
      <c r="C6" s="65"/>
      <c r="D6" s="65"/>
      <c r="E6" s="65"/>
      <c r="F6" s="65"/>
      <c r="G6" s="65"/>
      <c r="H6" s="65"/>
      <c r="I6" s="65"/>
      <c r="J6" s="65"/>
    </row>
    <row r="7" spans="1:10" ht="21" x14ac:dyDescent="0.3">
      <c r="A7" s="50"/>
      <c r="B7" s="50"/>
      <c r="C7" s="50"/>
      <c r="D7" s="50"/>
      <c r="E7" s="50"/>
      <c r="F7" s="50"/>
      <c r="G7" s="50"/>
      <c r="H7" s="50"/>
      <c r="I7" s="50"/>
      <c r="J7" s="50"/>
    </row>
    <row r="8" spans="1:10" ht="21" x14ac:dyDescent="0.3">
      <c r="A8" s="50"/>
      <c r="B8" s="50"/>
      <c r="C8" s="50"/>
      <c r="D8" s="50"/>
      <c r="E8" s="50"/>
      <c r="F8" s="50"/>
      <c r="G8" s="50"/>
      <c r="H8" s="50"/>
      <c r="I8" s="50"/>
      <c r="J8" s="50"/>
    </row>
    <row r="10" spans="1:10" ht="15.6" x14ac:dyDescent="0.3">
      <c r="B10" t="s">
        <v>65</v>
      </c>
      <c r="C10" s="12" t="s">
        <v>127</v>
      </c>
    </row>
    <row r="12" spans="1:10" ht="15.6" x14ac:dyDescent="0.3">
      <c r="B12" s="13" t="s">
        <v>73</v>
      </c>
      <c r="G12" s="12"/>
    </row>
    <row r="13" spans="1:10" ht="15.6" x14ac:dyDescent="0.3">
      <c r="B13" s="31" t="s">
        <v>122</v>
      </c>
      <c r="G13" s="20"/>
    </row>
    <row r="14" spans="1:10" x14ac:dyDescent="0.3">
      <c r="B14" t="s">
        <v>124</v>
      </c>
    </row>
    <row r="15" spans="1:10" x14ac:dyDescent="0.3">
      <c r="B15" t="s">
        <v>123</v>
      </c>
    </row>
    <row r="16" spans="1:10" x14ac:dyDescent="0.3">
      <c r="B16" s="32" t="s">
        <v>62</v>
      </c>
    </row>
    <row r="17" spans="2:10" x14ac:dyDescent="0.3">
      <c r="B17" s="2" t="s">
        <v>126</v>
      </c>
    </row>
    <row r="18" spans="2:10" x14ac:dyDescent="0.3">
      <c r="B18" s="14" t="s">
        <v>125</v>
      </c>
    </row>
    <row r="19" spans="2:10" x14ac:dyDescent="0.3">
      <c r="B19" s="14"/>
    </row>
    <row r="20" spans="2:10" x14ac:dyDescent="0.3">
      <c r="B20" s="14"/>
    </row>
    <row r="21" spans="2:10" ht="15.6" x14ac:dyDescent="0.3">
      <c r="E21" s="33" t="s">
        <v>121</v>
      </c>
    </row>
    <row r="24" spans="2:10" x14ac:dyDescent="0.3">
      <c r="B24" s="14"/>
    </row>
    <row r="25" spans="2:10" x14ac:dyDescent="0.3">
      <c r="B25" s="2" t="s">
        <v>72</v>
      </c>
    </row>
    <row r="26" spans="2:10" x14ac:dyDescent="0.3">
      <c r="B26" s="2"/>
      <c r="C26" t="s">
        <v>119</v>
      </c>
    </row>
    <row r="27" spans="2:10" x14ac:dyDescent="0.3">
      <c r="B27" t="s">
        <v>120</v>
      </c>
    </row>
    <row r="28" spans="2:10" x14ac:dyDescent="0.3">
      <c r="B28" s="2"/>
    </row>
    <row r="29" spans="2:10" s="6" customFormat="1" x14ac:dyDescent="0.3">
      <c r="B29" s="3" t="s">
        <v>12</v>
      </c>
      <c r="C29" s="70" t="s">
        <v>16</v>
      </c>
      <c r="D29" s="71"/>
      <c r="E29" s="71"/>
      <c r="F29" s="71"/>
      <c r="G29" s="3" t="s">
        <v>115</v>
      </c>
      <c r="H29" s="3" t="s">
        <v>13</v>
      </c>
      <c r="I29" s="3" t="s">
        <v>116</v>
      </c>
      <c r="J29" s="3" t="s">
        <v>18</v>
      </c>
    </row>
    <row r="30" spans="2:10" s="38" customFormat="1" ht="14.4" customHeight="1" x14ac:dyDescent="0.3">
      <c r="B30" s="35">
        <v>1</v>
      </c>
      <c r="C30" s="67" t="s">
        <v>111</v>
      </c>
      <c r="D30" s="68"/>
      <c r="E30" s="68"/>
      <c r="F30" s="69"/>
      <c r="G30" s="36" t="s">
        <v>112</v>
      </c>
      <c r="H30" s="35">
        <v>1</v>
      </c>
      <c r="I30" s="37" t="s">
        <v>117</v>
      </c>
      <c r="J30" s="37">
        <v>229</v>
      </c>
    </row>
    <row r="31" spans="2:10" s="38" customFormat="1" ht="14.4" customHeight="1" x14ac:dyDescent="0.3">
      <c r="B31" s="35">
        <v>2</v>
      </c>
      <c r="C31" s="67" t="s">
        <v>113</v>
      </c>
      <c r="D31" s="68"/>
      <c r="E31" s="68"/>
      <c r="F31" s="69"/>
      <c r="G31" s="36" t="s">
        <v>114</v>
      </c>
      <c r="H31" s="35">
        <v>3</v>
      </c>
      <c r="I31" s="37" t="s">
        <v>118</v>
      </c>
      <c r="J31" s="37">
        <f>75*3</f>
        <v>225</v>
      </c>
    </row>
    <row r="32" spans="2:10" s="38" customFormat="1" x14ac:dyDescent="0.3">
      <c r="C32" s="52"/>
      <c r="D32" s="52"/>
      <c r="E32" s="52"/>
      <c r="F32" s="52"/>
      <c r="G32" s="53"/>
      <c r="I32" s="36" t="s">
        <v>15</v>
      </c>
      <c r="J32" s="54">
        <f>SUM(J30:J31)</f>
        <v>454</v>
      </c>
    </row>
    <row r="33" spans="2:10" x14ac:dyDescent="0.3">
      <c r="B33" s="6"/>
      <c r="C33" s="6"/>
      <c r="D33" s="6"/>
      <c r="E33" s="6"/>
      <c r="F33" s="6"/>
      <c r="G33" s="34"/>
      <c r="H33" s="38"/>
      <c r="I33" s="36" t="s">
        <v>17</v>
      </c>
      <c r="J33" s="54">
        <f>J32*5%</f>
        <v>22.700000000000003</v>
      </c>
    </row>
    <row r="34" spans="2:10" x14ac:dyDescent="0.3">
      <c r="B34" s="8"/>
      <c r="C34" s="8"/>
      <c r="D34" s="8"/>
      <c r="E34" s="8"/>
      <c r="F34" s="8"/>
      <c r="G34" s="8"/>
      <c r="I34" s="3" t="s">
        <v>18</v>
      </c>
      <c r="J34" s="51">
        <f>J32+J33</f>
        <v>476.7</v>
      </c>
    </row>
    <row r="35" spans="2:10" x14ac:dyDescent="0.3">
      <c r="B35" s="8"/>
      <c r="C35" s="8"/>
      <c r="D35" s="8"/>
      <c r="E35" s="8"/>
      <c r="F35" s="8"/>
      <c r="G35" s="8"/>
      <c r="I35" s="34"/>
      <c r="J35" s="55"/>
    </row>
    <row r="36" spans="2:10" x14ac:dyDescent="0.3">
      <c r="B36" s="8"/>
      <c r="C36" s="8"/>
      <c r="D36" s="8"/>
      <c r="E36" s="8"/>
      <c r="F36" s="8"/>
      <c r="G36" s="8"/>
      <c r="I36" s="2"/>
      <c r="J36" s="55"/>
    </row>
    <row r="37" spans="2:10" x14ac:dyDescent="0.3">
      <c r="B37" t="s">
        <v>63</v>
      </c>
    </row>
    <row r="44" spans="2:10" x14ac:dyDescent="0.3">
      <c r="B44" s="2" t="s">
        <v>66</v>
      </c>
    </row>
    <row r="45" spans="2:10" x14ac:dyDescent="0.3">
      <c r="B45" t="s">
        <v>67</v>
      </c>
    </row>
    <row r="46" spans="2:10" x14ac:dyDescent="0.3">
      <c r="B46" t="s">
        <v>68</v>
      </c>
    </row>
    <row r="47" spans="2:10" x14ac:dyDescent="0.3">
      <c r="B47" t="s">
        <v>69</v>
      </c>
    </row>
    <row r="48" spans="2:10" x14ac:dyDescent="0.3">
      <c r="B48" t="s">
        <v>70</v>
      </c>
    </row>
    <row r="49" spans="2:2" x14ac:dyDescent="0.3">
      <c r="B49" s="32" t="s">
        <v>71</v>
      </c>
    </row>
    <row r="50" spans="2:2" x14ac:dyDescent="0.3">
      <c r="B50" s="2"/>
    </row>
    <row r="51" spans="2:2" x14ac:dyDescent="0.3">
      <c r="B51" s="2"/>
    </row>
    <row r="52" spans="2:2" x14ac:dyDescent="0.3">
      <c r="B52" s="2"/>
    </row>
    <row r="53" spans="2:2" x14ac:dyDescent="0.3">
      <c r="B53" s="2"/>
    </row>
    <row r="54" spans="2:2" x14ac:dyDescent="0.3">
      <c r="B54" s="2"/>
    </row>
    <row r="55" spans="2:2" x14ac:dyDescent="0.3">
      <c r="B55" s="2"/>
    </row>
    <row r="56" spans="2:2" x14ac:dyDescent="0.3">
      <c r="B56" s="2"/>
    </row>
    <row r="57" spans="2:2" x14ac:dyDescent="0.3">
      <c r="B57" s="2"/>
    </row>
    <row r="58" spans="2:2" x14ac:dyDescent="0.3">
      <c r="B58" s="2"/>
    </row>
    <row r="59" spans="2:2" x14ac:dyDescent="0.3">
      <c r="B59" s="2"/>
    </row>
    <row r="60" spans="2:2" x14ac:dyDescent="0.3">
      <c r="B60" s="2"/>
    </row>
    <row r="61" spans="2:2" x14ac:dyDescent="0.3">
      <c r="B61" s="2"/>
    </row>
    <row r="62" spans="2:2" x14ac:dyDescent="0.3">
      <c r="B62" s="2"/>
    </row>
    <row r="63" spans="2:2" x14ac:dyDescent="0.3">
      <c r="B63" s="2"/>
    </row>
    <row r="64" spans="2:2" x14ac:dyDescent="0.3">
      <c r="B64" s="2"/>
    </row>
    <row r="65" spans="2:10" x14ac:dyDescent="0.3">
      <c r="B65" s="2"/>
    </row>
    <row r="66" spans="2:10" x14ac:dyDescent="0.3">
      <c r="B66" s="2"/>
    </row>
    <row r="67" spans="2:10" x14ac:dyDescent="0.3">
      <c r="B67" s="2"/>
    </row>
    <row r="68" spans="2:10" x14ac:dyDescent="0.3">
      <c r="B68" s="2"/>
    </row>
    <row r="69" spans="2:10" x14ac:dyDescent="0.3">
      <c r="B69" s="2"/>
    </row>
    <row r="70" spans="2:10" x14ac:dyDescent="0.3">
      <c r="B70" s="2"/>
    </row>
    <row r="71" spans="2:10" x14ac:dyDescent="0.3">
      <c r="B71" s="2"/>
    </row>
    <row r="72" spans="2:10" x14ac:dyDescent="0.3">
      <c r="B72" s="2"/>
    </row>
    <row r="73" spans="2:10" x14ac:dyDescent="0.3">
      <c r="B73" s="2"/>
    </row>
    <row r="74" spans="2:10" ht="14.4" customHeight="1" x14ac:dyDescent="0.3">
      <c r="B74" s="63" t="s">
        <v>74</v>
      </c>
      <c r="C74" s="63"/>
      <c r="D74" s="63"/>
      <c r="E74" s="63"/>
      <c r="F74" s="63"/>
      <c r="G74" s="63"/>
      <c r="H74" s="63"/>
      <c r="I74" s="63"/>
      <c r="J74" s="63"/>
    </row>
    <row r="75" spans="2:10" x14ac:dyDescent="0.3">
      <c r="B75" s="63"/>
      <c r="C75" s="63"/>
      <c r="D75" s="63"/>
      <c r="E75" s="63"/>
      <c r="F75" s="63"/>
      <c r="G75" s="63"/>
      <c r="H75" s="63"/>
      <c r="I75" s="63"/>
      <c r="J75" s="63"/>
    </row>
    <row r="76" spans="2:10" x14ac:dyDescent="0.3">
      <c r="B76" s="63"/>
      <c r="C76" s="63"/>
      <c r="D76" s="63"/>
      <c r="E76" s="63"/>
      <c r="F76" s="63"/>
      <c r="G76" s="63"/>
      <c r="H76" s="63"/>
      <c r="I76" s="63"/>
      <c r="J76" s="63"/>
    </row>
    <row r="77" spans="2:10" x14ac:dyDescent="0.3">
      <c r="C77" s="18"/>
    </row>
    <row r="78" spans="2:10" x14ac:dyDescent="0.3">
      <c r="C78" s="18"/>
    </row>
  </sheetData>
  <mergeCells count="6">
    <mergeCell ref="G1:J4"/>
    <mergeCell ref="B74:J76"/>
    <mergeCell ref="A6:J6"/>
    <mergeCell ref="C30:F30"/>
    <mergeCell ref="C31:F31"/>
    <mergeCell ref="C29:F29"/>
  </mergeCells>
  <printOptions horizontalCentered="1" verticalCentered="1"/>
  <pageMargins left="0" right="0" top="0" bottom="0" header="0.31496062992125984" footer="0.31496062992125984"/>
  <pageSetup paperSize="9" scale="71" fitToWidth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4D111-0ACD-4089-AC5C-F9B68CC79ED2}">
  <sheetPr codeName="Sheet9">
    <pageSetUpPr fitToPage="1"/>
  </sheetPr>
  <dimension ref="B2:J52"/>
  <sheetViews>
    <sheetView view="pageBreakPreview" topLeftCell="B34" zoomScaleNormal="100" zoomScaleSheetLayoutView="100" workbookViewId="0">
      <selection activeCell="D61" sqref="D61"/>
    </sheetView>
  </sheetViews>
  <sheetFormatPr defaultRowHeight="14.4" x14ac:dyDescent="0.3"/>
  <cols>
    <col min="2" max="2" width="10" bestFit="1" customWidth="1"/>
    <col min="9" max="9" width="11.109375" customWidth="1"/>
  </cols>
  <sheetData>
    <row r="2" spans="2:9" ht="15.6" x14ac:dyDescent="0.3">
      <c r="G2" s="9" t="s">
        <v>0</v>
      </c>
    </row>
    <row r="3" spans="2:9" ht="15.6" x14ac:dyDescent="0.3">
      <c r="G3" s="10" t="s">
        <v>1</v>
      </c>
    </row>
    <row r="6" spans="2:9" ht="15.6" x14ac:dyDescent="0.3">
      <c r="F6" s="11" t="s">
        <v>2</v>
      </c>
    </row>
    <row r="8" spans="2:9" ht="15.6" x14ac:dyDescent="0.3">
      <c r="B8" s="12" t="s">
        <v>161</v>
      </c>
      <c r="I8" s="12" t="s">
        <v>162</v>
      </c>
    </row>
    <row r="10" spans="2:9" ht="15.6" x14ac:dyDescent="0.3">
      <c r="B10" s="13" t="s">
        <v>5</v>
      </c>
    </row>
    <row r="11" spans="2:9" ht="15.6" x14ac:dyDescent="0.3">
      <c r="B11" s="13" t="s">
        <v>6</v>
      </c>
    </row>
    <row r="12" spans="2:9" x14ac:dyDescent="0.3">
      <c r="B12" t="s">
        <v>7</v>
      </c>
    </row>
    <row r="13" spans="2:9" x14ac:dyDescent="0.3">
      <c r="B13" t="s">
        <v>8</v>
      </c>
    </row>
    <row r="14" spans="2:9" x14ac:dyDescent="0.3">
      <c r="B14" t="s">
        <v>9</v>
      </c>
    </row>
    <row r="15" spans="2:9" x14ac:dyDescent="0.3">
      <c r="B15" s="2" t="s">
        <v>10</v>
      </c>
    </row>
    <row r="16" spans="2:9" x14ac:dyDescent="0.3">
      <c r="B16" s="14" t="s">
        <v>11</v>
      </c>
    </row>
    <row r="17" spans="2:10" x14ac:dyDescent="0.3">
      <c r="B17" s="14"/>
    </row>
    <row r="18" spans="2:10" x14ac:dyDescent="0.3">
      <c r="B18" s="14"/>
    </row>
    <row r="20" spans="2:10" s="6" customFormat="1" x14ac:dyDescent="0.3">
      <c r="B20" s="3" t="s">
        <v>12</v>
      </c>
      <c r="C20" s="59" t="s">
        <v>16</v>
      </c>
      <c r="D20" s="59"/>
      <c r="E20" s="59"/>
      <c r="F20" s="59"/>
      <c r="G20" s="59"/>
      <c r="H20" s="3" t="s">
        <v>13</v>
      </c>
      <c r="I20" s="3" t="s">
        <v>14</v>
      </c>
      <c r="J20" s="3" t="s">
        <v>15</v>
      </c>
    </row>
    <row r="21" spans="2:10" x14ac:dyDescent="0.3">
      <c r="B21" s="4">
        <v>1</v>
      </c>
      <c r="C21" s="60" t="s">
        <v>160</v>
      </c>
      <c r="D21" s="60"/>
      <c r="E21" s="60"/>
      <c r="F21" s="60"/>
      <c r="G21" s="60"/>
      <c r="H21" s="4">
        <v>1</v>
      </c>
      <c r="I21" s="5">
        <v>120</v>
      </c>
      <c r="J21" s="5">
        <f>I21*H21</f>
        <v>120</v>
      </c>
    </row>
    <row r="22" spans="2:10" x14ac:dyDescent="0.3">
      <c r="B22" s="4"/>
      <c r="C22" s="60"/>
      <c r="D22" s="60"/>
      <c r="E22" s="60"/>
      <c r="F22" s="60"/>
      <c r="G22" s="60"/>
      <c r="H22" s="4"/>
      <c r="I22" s="5"/>
      <c r="J22" s="5"/>
    </row>
    <row r="23" spans="2:10" x14ac:dyDescent="0.3">
      <c r="B23" s="6"/>
      <c r="C23" s="62"/>
      <c r="D23" s="62"/>
      <c r="E23" s="62"/>
      <c r="F23" s="62"/>
      <c r="G23" s="62"/>
      <c r="H23" s="59" t="s">
        <v>18</v>
      </c>
      <c r="I23" s="59"/>
      <c r="J23" s="7">
        <f>J21</f>
        <v>120</v>
      </c>
    </row>
    <row r="25" spans="2:10" x14ac:dyDescent="0.3">
      <c r="B25" s="61" t="s">
        <v>19</v>
      </c>
      <c r="C25" s="61"/>
      <c r="D25" s="8" t="s">
        <v>163</v>
      </c>
    </row>
    <row r="27" spans="2:10" ht="15.6" x14ac:dyDescent="0.3">
      <c r="B27" s="15" t="s">
        <v>25</v>
      </c>
    </row>
    <row r="28" spans="2:10" ht="15.6" x14ac:dyDescent="0.3">
      <c r="B28" s="15" t="s">
        <v>26</v>
      </c>
    </row>
    <row r="29" spans="2:10" ht="15.6" x14ac:dyDescent="0.3">
      <c r="B29" s="15" t="s">
        <v>27</v>
      </c>
    </row>
    <row r="30" spans="2:10" ht="15.6" x14ac:dyDescent="0.3">
      <c r="C30" s="16"/>
    </row>
    <row r="31" spans="2:10" ht="15.6" x14ac:dyDescent="0.3">
      <c r="C31" s="16"/>
    </row>
    <row r="32" spans="2:10" ht="15.6" x14ac:dyDescent="0.3">
      <c r="C32" s="16"/>
    </row>
    <row r="33" spans="2:8" ht="15.6" x14ac:dyDescent="0.3">
      <c r="C33" s="16"/>
    </row>
    <row r="34" spans="2:8" ht="15.6" x14ac:dyDescent="0.3">
      <c r="C34" s="16"/>
    </row>
    <row r="36" spans="2:8" ht="15.6" x14ac:dyDescent="0.3">
      <c r="C36" s="16"/>
    </row>
    <row r="43" spans="2:8" ht="15.6" x14ac:dyDescent="0.3">
      <c r="B43" s="17" t="s">
        <v>29</v>
      </c>
      <c r="H43" s="17" t="s">
        <v>28</v>
      </c>
    </row>
    <row r="51" spans="3:3" x14ac:dyDescent="0.3">
      <c r="C51" s="18" t="s">
        <v>30</v>
      </c>
    </row>
    <row r="52" spans="3:3" x14ac:dyDescent="0.3">
      <c r="C52" s="18" t="s">
        <v>31</v>
      </c>
    </row>
  </sheetData>
  <mergeCells count="6">
    <mergeCell ref="H23:I23"/>
    <mergeCell ref="C20:G20"/>
    <mergeCell ref="C21:G21"/>
    <mergeCell ref="C22:G22"/>
    <mergeCell ref="B25:C25"/>
    <mergeCell ref="C23:G23"/>
  </mergeCells>
  <printOptions horizontalCentered="1" verticalCentered="1"/>
  <pageMargins left="0" right="0" top="0" bottom="0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70DBC-FA1A-415E-B133-51DCD567DDB2}">
  <sheetPr codeName="Sheet5"/>
  <dimension ref="B2:J59"/>
  <sheetViews>
    <sheetView view="pageBreakPreview" topLeftCell="A9" zoomScaleNormal="100" zoomScaleSheetLayoutView="100" workbookViewId="0">
      <selection activeCell="B36" sqref="B36"/>
    </sheetView>
  </sheetViews>
  <sheetFormatPr defaultRowHeight="14.4" x14ac:dyDescent="0.3"/>
  <cols>
    <col min="2" max="2" width="10" bestFit="1" customWidth="1"/>
    <col min="9" max="9" width="11.109375" customWidth="1"/>
  </cols>
  <sheetData>
    <row r="2" spans="2:9" ht="15.6" x14ac:dyDescent="0.3">
      <c r="G2" s="9" t="s">
        <v>0</v>
      </c>
    </row>
    <row r="3" spans="2:9" ht="15.6" x14ac:dyDescent="0.3">
      <c r="G3" s="10" t="s">
        <v>1</v>
      </c>
    </row>
    <row r="6" spans="2:9" ht="15.6" x14ac:dyDescent="0.3">
      <c r="F6" s="11" t="s">
        <v>2</v>
      </c>
    </row>
    <row r="8" spans="2:9" ht="15.6" x14ac:dyDescent="0.3">
      <c r="B8" s="12" t="s">
        <v>3</v>
      </c>
      <c r="I8" s="12" t="s">
        <v>4</v>
      </c>
    </row>
    <row r="10" spans="2:9" ht="15.6" x14ac:dyDescent="0.3">
      <c r="B10" s="13" t="s">
        <v>5</v>
      </c>
    </row>
    <row r="11" spans="2:9" ht="15.6" x14ac:dyDescent="0.3">
      <c r="B11" s="13" t="s">
        <v>6</v>
      </c>
    </row>
    <row r="12" spans="2:9" x14ac:dyDescent="0.3">
      <c r="B12" t="s">
        <v>7</v>
      </c>
    </row>
    <row r="13" spans="2:9" x14ac:dyDescent="0.3">
      <c r="B13" t="s">
        <v>8</v>
      </c>
    </row>
    <row r="14" spans="2:9" x14ac:dyDescent="0.3">
      <c r="B14" t="s">
        <v>9</v>
      </c>
    </row>
    <row r="15" spans="2:9" x14ac:dyDescent="0.3">
      <c r="B15" s="2" t="s">
        <v>10</v>
      </c>
    </row>
    <row r="16" spans="2:9" x14ac:dyDescent="0.3">
      <c r="B16" s="14" t="s">
        <v>11</v>
      </c>
    </row>
    <row r="17" spans="2:10" x14ac:dyDescent="0.3">
      <c r="B17" s="14"/>
    </row>
    <row r="18" spans="2:10" x14ac:dyDescent="0.3">
      <c r="B18" s="14"/>
    </row>
    <row r="20" spans="2:10" s="6" customFormat="1" x14ac:dyDescent="0.3">
      <c r="B20" s="3" t="s">
        <v>12</v>
      </c>
      <c r="C20" s="59" t="s">
        <v>16</v>
      </c>
      <c r="D20" s="59"/>
      <c r="E20" s="59"/>
      <c r="F20" s="59"/>
      <c r="G20" s="59"/>
      <c r="H20" s="3" t="s">
        <v>13</v>
      </c>
      <c r="I20" s="3" t="s">
        <v>14</v>
      </c>
      <c r="J20" s="3" t="s">
        <v>15</v>
      </c>
    </row>
    <row r="21" spans="2:10" x14ac:dyDescent="0.3">
      <c r="B21" s="4">
        <v>1</v>
      </c>
      <c r="C21" s="60" t="s">
        <v>20</v>
      </c>
      <c r="D21" s="60"/>
      <c r="E21" s="60"/>
      <c r="F21" s="60"/>
      <c r="G21" s="60"/>
      <c r="H21" s="4">
        <v>1</v>
      </c>
      <c r="I21" s="5">
        <v>465</v>
      </c>
      <c r="J21" s="5">
        <f>I21*H21</f>
        <v>465</v>
      </c>
    </row>
    <row r="22" spans="2:10" x14ac:dyDescent="0.3">
      <c r="B22" s="4">
        <v>2</v>
      </c>
      <c r="C22" s="60" t="s">
        <v>21</v>
      </c>
      <c r="D22" s="60"/>
      <c r="E22" s="60"/>
      <c r="F22" s="60"/>
      <c r="G22" s="60"/>
      <c r="H22" s="4">
        <v>1</v>
      </c>
      <c r="I22" s="5">
        <v>550</v>
      </c>
      <c r="J22" s="5">
        <f t="shared" ref="J22:J25" si="0">I22*H22</f>
        <v>550</v>
      </c>
    </row>
    <row r="23" spans="2:10" x14ac:dyDescent="0.3">
      <c r="B23" s="4">
        <v>3</v>
      </c>
      <c r="C23" s="60" t="s">
        <v>22</v>
      </c>
      <c r="D23" s="60"/>
      <c r="E23" s="60"/>
      <c r="F23" s="60"/>
      <c r="G23" s="60"/>
      <c r="H23" s="4">
        <v>1</v>
      </c>
      <c r="I23" s="5">
        <v>465</v>
      </c>
      <c r="J23" s="5">
        <f t="shared" si="0"/>
        <v>465</v>
      </c>
    </row>
    <row r="24" spans="2:10" x14ac:dyDescent="0.3">
      <c r="B24" s="4">
        <v>4</v>
      </c>
      <c r="C24" s="60" t="s">
        <v>23</v>
      </c>
      <c r="D24" s="60"/>
      <c r="E24" s="60"/>
      <c r="F24" s="60"/>
      <c r="G24" s="60"/>
      <c r="H24" s="4">
        <v>1</v>
      </c>
      <c r="I24" s="5">
        <v>210</v>
      </c>
      <c r="J24" s="5">
        <f t="shared" si="0"/>
        <v>210</v>
      </c>
    </row>
    <row r="25" spans="2:10" x14ac:dyDescent="0.3">
      <c r="B25" s="4">
        <v>5</v>
      </c>
      <c r="C25" s="60" t="s">
        <v>24</v>
      </c>
      <c r="D25" s="60"/>
      <c r="E25" s="60"/>
      <c r="F25" s="60"/>
      <c r="G25" s="60"/>
      <c r="H25" s="4">
        <v>1</v>
      </c>
      <c r="I25" s="5">
        <v>270</v>
      </c>
      <c r="J25" s="5">
        <f t="shared" si="0"/>
        <v>270</v>
      </c>
    </row>
    <row r="26" spans="2:10" x14ac:dyDescent="0.3">
      <c r="B26" s="4"/>
      <c r="C26" s="72"/>
      <c r="D26" s="72"/>
      <c r="E26" s="72"/>
      <c r="F26" s="72"/>
      <c r="G26" s="72"/>
      <c r="H26" s="4"/>
      <c r="I26" s="5"/>
      <c r="J26" s="5"/>
    </row>
    <row r="27" spans="2:10" x14ac:dyDescent="0.3">
      <c r="B27" s="4"/>
      <c r="C27" s="72"/>
      <c r="D27" s="72"/>
      <c r="E27" s="72"/>
      <c r="F27" s="72"/>
      <c r="G27" s="72"/>
      <c r="H27" s="1"/>
      <c r="I27" s="5"/>
      <c r="J27" s="5"/>
    </row>
    <row r="28" spans="2:10" x14ac:dyDescent="0.3">
      <c r="B28" s="6"/>
      <c r="C28" s="62"/>
      <c r="D28" s="62"/>
      <c r="E28" s="62"/>
      <c r="F28" s="62"/>
      <c r="G28" s="62"/>
      <c r="H28" s="73" t="s">
        <v>15</v>
      </c>
      <c r="I28" s="73"/>
      <c r="J28" s="7">
        <f>SUM(J21:J25)</f>
        <v>1960</v>
      </c>
    </row>
    <row r="29" spans="2:10" x14ac:dyDescent="0.3">
      <c r="B29" s="6"/>
      <c r="C29" s="6"/>
      <c r="D29" s="6"/>
      <c r="E29" s="6"/>
      <c r="F29" s="6"/>
      <c r="G29" s="6"/>
      <c r="H29" s="59" t="s">
        <v>17</v>
      </c>
      <c r="I29" s="59"/>
      <c r="J29" s="7">
        <f>J28*5%</f>
        <v>98</v>
      </c>
    </row>
    <row r="30" spans="2:10" x14ac:dyDescent="0.3">
      <c r="B30" s="6"/>
      <c r="C30" s="62"/>
      <c r="D30" s="62"/>
      <c r="E30" s="62"/>
      <c r="F30" s="62"/>
      <c r="G30" s="62"/>
      <c r="H30" s="59" t="s">
        <v>18</v>
      </c>
      <c r="I30" s="59"/>
      <c r="J30" s="7">
        <f>SUM(J28:J29)</f>
        <v>2058</v>
      </c>
    </row>
    <row r="32" spans="2:10" x14ac:dyDescent="0.3">
      <c r="B32" s="61" t="s">
        <v>19</v>
      </c>
      <c r="C32" s="61"/>
      <c r="D32" s="8" t="s">
        <v>32</v>
      </c>
    </row>
    <row r="34" spans="2:3" ht="15.6" x14ac:dyDescent="0.3">
      <c r="B34" s="15" t="s">
        <v>25</v>
      </c>
    </row>
    <row r="35" spans="2:3" ht="15.6" x14ac:dyDescent="0.3">
      <c r="B35" s="15" t="s">
        <v>26</v>
      </c>
    </row>
    <row r="36" spans="2:3" ht="15.6" x14ac:dyDescent="0.3">
      <c r="B36" s="15" t="s">
        <v>27</v>
      </c>
    </row>
    <row r="37" spans="2:3" ht="15.6" x14ac:dyDescent="0.3">
      <c r="C37" s="16"/>
    </row>
    <row r="38" spans="2:3" ht="15.6" x14ac:dyDescent="0.3">
      <c r="C38" s="16"/>
    </row>
    <row r="39" spans="2:3" ht="15.6" x14ac:dyDescent="0.3">
      <c r="C39" s="16"/>
    </row>
    <row r="40" spans="2:3" ht="15.6" x14ac:dyDescent="0.3">
      <c r="C40" s="16"/>
    </row>
    <row r="41" spans="2:3" ht="15.6" x14ac:dyDescent="0.3">
      <c r="C41" s="16"/>
    </row>
    <row r="42" spans="2:3" ht="15.6" x14ac:dyDescent="0.3">
      <c r="C42" s="16"/>
    </row>
    <row r="43" spans="2:3" ht="15.6" x14ac:dyDescent="0.3">
      <c r="C43" s="16"/>
    </row>
    <row r="50" spans="2:8" ht="15.6" x14ac:dyDescent="0.3">
      <c r="B50" s="17" t="s">
        <v>29</v>
      </c>
      <c r="H50" s="17" t="s">
        <v>28</v>
      </c>
    </row>
    <row r="58" spans="2:8" x14ac:dyDescent="0.3">
      <c r="C58" s="18" t="s">
        <v>30</v>
      </c>
    </row>
    <row r="59" spans="2:8" x14ac:dyDescent="0.3">
      <c r="C59" s="18" t="s">
        <v>31</v>
      </c>
    </row>
  </sheetData>
  <mergeCells count="14">
    <mergeCell ref="B32:C32"/>
    <mergeCell ref="C27:G27"/>
    <mergeCell ref="C28:G28"/>
    <mergeCell ref="C30:G30"/>
    <mergeCell ref="H30:I30"/>
    <mergeCell ref="H28:I28"/>
    <mergeCell ref="H29:I29"/>
    <mergeCell ref="C25:G25"/>
    <mergeCell ref="C26:G26"/>
    <mergeCell ref="C20:G20"/>
    <mergeCell ref="C21:G21"/>
    <mergeCell ref="C22:G22"/>
    <mergeCell ref="C23:G23"/>
    <mergeCell ref="C24:G24"/>
  </mergeCells>
  <printOptions horizontalCentered="1" verticalCentered="1"/>
  <pageMargins left="0" right="0" top="0" bottom="0" header="0.31496062992125984" footer="0.31496062992125984"/>
  <pageSetup paperSize="9" scale="87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E091F-979B-4C18-919E-1A5028B9732E}">
  <sheetPr>
    <pageSetUpPr fitToPage="1"/>
  </sheetPr>
  <dimension ref="A3:I58"/>
  <sheetViews>
    <sheetView view="pageBreakPreview" topLeftCell="A12" zoomScaleNormal="100" zoomScaleSheetLayoutView="100" workbookViewId="0">
      <selection activeCell="I14" sqref="I14"/>
    </sheetView>
  </sheetViews>
  <sheetFormatPr defaultRowHeight="14.4" x14ac:dyDescent="0.3"/>
  <cols>
    <col min="2" max="2" width="10.33203125" bestFit="1" customWidth="1"/>
  </cols>
  <sheetData>
    <row r="3" spans="1:9" ht="15.6" x14ac:dyDescent="0.3">
      <c r="F3" s="9" t="s">
        <v>0</v>
      </c>
    </row>
    <row r="4" spans="1:9" ht="15.6" x14ac:dyDescent="0.3">
      <c r="F4" s="10" t="s">
        <v>1</v>
      </c>
    </row>
    <row r="7" spans="1:9" ht="21" x14ac:dyDescent="0.4">
      <c r="D7" s="74" t="s">
        <v>37</v>
      </c>
      <c r="E7" s="74"/>
      <c r="F7" s="74"/>
    </row>
    <row r="9" spans="1:9" x14ac:dyDescent="0.3">
      <c r="A9" s="82" t="s">
        <v>33</v>
      </c>
      <c r="B9" s="82"/>
      <c r="C9" s="82" t="s">
        <v>34</v>
      </c>
      <c r="D9" s="82"/>
    </row>
    <row r="10" spans="1:9" x14ac:dyDescent="0.3">
      <c r="A10" s="82" t="s">
        <v>35</v>
      </c>
      <c r="B10" s="82"/>
      <c r="C10" s="82" t="s">
        <v>36</v>
      </c>
      <c r="D10" s="82"/>
    </row>
    <row r="11" spans="1:9" x14ac:dyDescent="0.3">
      <c r="A11" s="8"/>
      <c r="B11" s="8"/>
      <c r="C11" s="2"/>
    </row>
    <row r="13" spans="1:9" x14ac:dyDescent="0.3">
      <c r="A13" s="81" t="s">
        <v>60</v>
      </c>
      <c r="B13" s="81"/>
      <c r="C13" s="81"/>
      <c r="D13" s="81"/>
      <c r="E13" s="81"/>
      <c r="F13" s="81"/>
      <c r="G13" s="27">
        <f>SUM(G16:G1048576)</f>
        <v>5929</v>
      </c>
      <c r="H13" s="27">
        <f>SUM(H16:H1048576)</f>
        <v>-3806</v>
      </c>
      <c r="I13" s="27">
        <f>G13+H13</f>
        <v>2123</v>
      </c>
    </row>
    <row r="15" spans="1:9" x14ac:dyDescent="0.3">
      <c r="A15" s="3" t="s">
        <v>38</v>
      </c>
      <c r="B15" s="3" t="s">
        <v>39</v>
      </c>
      <c r="C15" s="59" t="s">
        <v>43</v>
      </c>
      <c r="D15" s="59"/>
      <c r="E15" s="59"/>
      <c r="F15" s="59"/>
      <c r="G15" s="3" t="s">
        <v>40</v>
      </c>
      <c r="H15" s="3" t="s">
        <v>41</v>
      </c>
      <c r="I15" s="3" t="s">
        <v>42</v>
      </c>
    </row>
    <row r="16" spans="1:9" x14ac:dyDescent="0.3">
      <c r="A16" s="22">
        <v>1</v>
      </c>
      <c r="B16" s="25">
        <v>46043</v>
      </c>
      <c r="C16" s="83" t="s">
        <v>47</v>
      </c>
      <c r="D16" s="84"/>
      <c r="E16" s="84"/>
      <c r="F16" s="85"/>
      <c r="G16" s="24">
        <v>1000</v>
      </c>
      <c r="H16" s="26"/>
      <c r="I16" s="24">
        <f>G16-H16</f>
        <v>1000</v>
      </c>
    </row>
    <row r="17" spans="1:9" x14ac:dyDescent="0.3">
      <c r="A17" s="4">
        <v>2</v>
      </c>
      <c r="B17" s="19">
        <v>46049</v>
      </c>
      <c r="C17" s="75" t="s">
        <v>44</v>
      </c>
      <c r="D17" s="76"/>
      <c r="E17" s="76"/>
      <c r="F17" s="77"/>
      <c r="G17" s="21"/>
      <c r="H17" s="21">
        <v>-309</v>
      </c>
      <c r="I17" s="21">
        <f t="shared" ref="I17:I32" si="0">G17-H17</f>
        <v>309</v>
      </c>
    </row>
    <row r="18" spans="1:9" x14ac:dyDescent="0.3">
      <c r="A18" s="4">
        <v>3</v>
      </c>
      <c r="B18" s="20">
        <v>46051</v>
      </c>
      <c r="C18" s="75" t="s">
        <v>45</v>
      </c>
      <c r="D18" s="76"/>
      <c r="E18" s="76"/>
      <c r="F18" s="77"/>
      <c r="G18" s="21"/>
      <c r="H18" s="21">
        <v>-3</v>
      </c>
      <c r="I18" s="21">
        <f t="shared" si="0"/>
        <v>3</v>
      </c>
    </row>
    <row r="19" spans="1:9" x14ac:dyDescent="0.3">
      <c r="A19" s="4">
        <v>4</v>
      </c>
      <c r="B19" s="19">
        <v>46055</v>
      </c>
      <c r="C19" s="75" t="s">
        <v>46</v>
      </c>
      <c r="D19" s="76"/>
      <c r="E19" s="76"/>
      <c r="F19" s="77"/>
      <c r="G19" s="21"/>
      <c r="H19" s="21">
        <v>-110</v>
      </c>
      <c r="I19" s="21">
        <f t="shared" si="0"/>
        <v>110</v>
      </c>
    </row>
    <row r="20" spans="1:9" x14ac:dyDescent="0.3">
      <c r="A20" s="22">
        <v>5</v>
      </c>
      <c r="B20" s="23">
        <v>46055</v>
      </c>
      <c r="C20" s="83" t="s">
        <v>48</v>
      </c>
      <c r="D20" s="84"/>
      <c r="E20" s="84"/>
      <c r="F20" s="85"/>
      <c r="G20" s="24">
        <v>532</v>
      </c>
      <c r="H20" s="24"/>
      <c r="I20" s="24">
        <f t="shared" si="0"/>
        <v>532</v>
      </c>
    </row>
    <row r="21" spans="1:9" x14ac:dyDescent="0.3">
      <c r="A21" s="4">
        <v>6</v>
      </c>
      <c r="B21" s="19">
        <v>46055</v>
      </c>
      <c r="C21" s="75" t="s">
        <v>49</v>
      </c>
      <c r="D21" s="76"/>
      <c r="E21" s="76"/>
      <c r="F21" s="77"/>
      <c r="G21" s="21">
        <v>422</v>
      </c>
      <c r="H21" s="21"/>
      <c r="I21" s="21">
        <f t="shared" si="0"/>
        <v>422</v>
      </c>
    </row>
    <row r="22" spans="1:9" x14ac:dyDescent="0.3">
      <c r="A22" s="4">
        <v>7</v>
      </c>
      <c r="B22" s="19">
        <v>46055</v>
      </c>
      <c r="C22" s="75" t="s">
        <v>50</v>
      </c>
      <c r="D22" s="76"/>
      <c r="E22" s="76"/>
      <c r="F22" s="77"/>
      <c r="G22" s="21">
        <v>17</v>
      </c>
      <c r="H22" s="21"/>
      <c r="I22" s="21">
        <f t="shared" si="0"/>
        <v>17</v>
      </c>
    </row>
    <row r="23" spans="1:9" x14ac:dyDescent="0.3">
      <c r="A23" s="4">
        <v>8</v>
      </c>
      <c r="B23" s="19">
        <v>46057</v>
      </c>
      <c r="C23" s="75" t="s">
        <v>51</v>
      </c>
      <c r="D23" s="76"/>
      <c r="E23" s="76"/>
      <c r="F23" s="77"/>
      <c r="G23" s="21"/>
      <c r="H23" s="21">
        <v>-34</v>
      </c>
      <c r="I23" s="21">
        <f t="shared" si="0"/>
        <v>34</v>
      </c>
    </row>
    <row r="24" spans="1:9" x14ac:dyDescent="0.3">
      <c r="A24" s="4">
        <v>9</v>
      </c>
      <c r="B24" s="19">
        <v>46057</v>
      </c>
      <c r="C24" s="75" t="s">
        <v>52</v>
      </c>
      <c r="D24" s="76"/>
      <c r="E24" s="76"/>
      <c r="F24" s="77"/>
      <c r="G24" s="21"/>
      <c r="H24" s="21">
        <v>-10</v>
      </c>
      <c r="I24" s="21">
        <f t="shared" si="0"/>
        <v>10</v>
      </c>
    </row>
    <row r="25" spans="1:9" x14ac:dyDescent="0.3">
      <c r="A25" s="4">
        <v>10</v>
      </c>
      <c r="B25" s="19">
        <v>46059</v>
      </c>
      <c r="C25" s="75" t="s">
        <v>54</v>
      </c>
      <c r="D25" s="76"/>
      <c r="E25" s="76"/>
      <c r="F25" s="77"/>
      <c r="G25" s="21">
        <v>1900</v>
      </c>
      <c r="H25" s="21"/>
      <c r="I25" s="21">
        <f t="shared" si="0"/>
        <v>1900</v>
      </c>
    </row>
    <row r="26" spans="1:9" x14ac:dyDescent="0.3">
      <c r="A26" s="4">
        <v>11</v>
      </c>
      <c r="B26" s="19">
        <v>46059</v>
      </c>
      <c r="C26" s="75" t="s">
        <v>53</v>
      </c>
      <c r="D26" s="76"/>
      <c r="E26" s="76"/>
      <c r="F26" s="77"/>
      <c r="G26" s="21"/>
      <c r="H26" s="21">
        <v>-1810</v>
      </c>
      <c r="I26" s="21">
        <f t="shared" si="0"/>
        <v>1810</v>
      </c>
    </row>
    <row r="27" spans="1:9" x14ac:dyDescent="0.3">
      <c r="A27" s="4">
        <v>12</v>
      </c>
      <c r="B27" s="19">
        <v>46059</v>
      </c>
      <c r="C27" s="75" t="s">
        <v>55</v>
      </c>
      <c r="D27" s="76"/>
      <c r="E27" s="76"/>
      <c r="F27" s="77"/>
      <c r="G27" s="21"/>
      <c r="H27" s="21">
        <v>-20</v>
      </c>
      <c r="I27" s="21">
        <f t="shared" si="0"/>
        <v>20</v>
      </c>
    </row>
    <row r="28" spans="1:9" x14ac:dyDescent="0.3">
      <c r="A28" s="4">
        <v>13</v>
      </c>
      <c r="B28" s="19">
        <v>46062</v>
      </c>
      <c r="C28" s="75" t="s">
        <v>59</v>
      </c>
      <c r="D28" s="76"/>
      <c r="E28" s="76"/>
      <c r="F28" s="77"/>
      <c r="G28" s="21"/>
      <c r="H28" s="21"/>
      <c r="I28" s="21">
        <f t="shared" si="0"/>
        <v>0</v>
      </c>
    </row>
    <row r="29" spans="1:9" x14ac:dyDescent="0.3">
      <c r="A29" s="4">
        <v>14</v>
      </c>
      <c r="B29" s="19">
        <v>46062</v>
      </c>
      <c r="C29" s="75" t="s">
        <v>58</v>
      </c>
      <c r="D29" s="76"/>
      <c r="E29" s="76"/>
      <c r="F29" s="77"/>
      <c r="G29" s="21">
        <v>2058</v>
      </c>
      <c r="H29" s="21"/>
      <c r="I29" s="21">
        <f t="shared" si="0"/>
        <v>2058</v>
      </c>
    </row>
    <row r="30" spans="1:9" x14ac:dyDescent="0.3">
      <c r="A30" s="4">
        <v>15</v>
      </c>
      <c r="B30" s="19">
        <v>46062</v>
      </c>
      <c r="C30" s="75" t="s">
        <v>56</v>
      </c>
      <c r="D30" s="76"/>
      <c r="E30" s="76"/>
      <c r="F30" s="77"/>
      <c r="G30" s="21"/>
      <c r="H30" s="21">
        <v>-10</v>
      </c>
      <c r="I30" s="21">
        <f t="shared" si="0"/>
        <v>10</v>
      </c>
    </row>
    <row r="31" spans="1:9" x14ac:dyDescent="0.3">
      <c r="A31" s="4">
        <v>17</v>
      </c>
      <c r="B31" s="19">
        <v>46062</v>
      </c>
      <c r="C31" s="75" t="s">
        <v>57</v>
      </c>
      <c r="D31" s="76"/>
      <c r="E31" s="76"/>
      <c r="F31" s="77"/>
      <c r="G31" s="21"/>
      <c r="H31" s="21">
        <v>-1200</v>
      </c>
      <c r="I31" s="21">
        <f t="shared" si="0"/>
        <v>1200</v>
      </c>
    </row>
    <row r="32" spans="1:9" x14ac:dyDescent="0.3">
      <c r="A32" s="28">
        <v>18</v>
      </c>
      <c r="B32" s="29">
        <v>46062</v>
      </c>
      <c r="C32" s="78" t="s">
        <v>61</v>
      </c>
      <c r="D32" s="79"/>
      <c r="E32" s="79"/>
      <c r="F32" s="80"/>
      <c r="G32" s="30"/>
      <c r="H32" s="30">
        <v>-300</v>
      </c>
      <c r="I32" s="30">
        <f t="shared" si="0"/>
        <v>300</v>
      </c>
    </row>
    <row r="33" spans="1:9" x14ac:dyDescent="0.3">
      <c r="A33" s="4"/>
      <c r="B33" s="1"/>
      <c r="C33" s="75"/>
      <c r="D33" s="76"/>
      <c r="E33" s="76"/>
      <c r="F33" s="77"/>
      <c r="G33" s="21"/>
      <c r="H33" s="21"/>
      <c r="I33" s="21"/>
    </row>
    <row r="57" spans="2:2" x14ac:dyDescent="0.3">
      <c r="B57" s="18" t="s">
        <v>30</v>
      </c>
    </row>
    <row r="58" spans="2:2" x14ac:dyDescent="0.3">
      <c r="B58" s="18" t="s">
        <v>31</v>
      </c>
    </row>
  </sheetData>
  <mergeCells count="25">
    <mergeCell ref="C33:F33"/>
    <mergeCell ref="C16:F16"/>
    <mergeCell ref="C29:F29"/>
    <mergeCell ref="C27:F27"/>
    <mergeCell ref="C25:F25"/>
    <mergeCell ref="C26:F26"/>
    <mergeCell ref="C28:F28"/>
    <mergeCell ref="C30:F30"/>
    <mergeCell ref="C19:F19"/>
    <mergeCell ref="C20:F20"/>
    <mergeCell ref="C21:F21"/>
    <mergeCell ref="C22:F22"/>
    <mergeCell ref="C23:F23"/>
    <mergeCell ref="C24:F24"/>
    <mergeCell ref="D7:F7"/>
    <mergeCell ref="C15:F15"/>
    <mergeCell ref="C17:F17"/>
    <mergeCell ref="C31:F31"/>
    <mergeCell ref="C32:F32"/>
    <mergeCell ref="C18:F18"/>
    <mergeCell ref="A13:F13"/>
    <mergeCell ref="C9:D9"/>
    <mergeCell ref="C10:D10"/>
    <mergeCell ref="A9:B9"/>
    <mergeCell ref="A10:B10"/>
  </mergeCells>
  <printOptions horizontalCentered="1" verticalCentered="1"/>
  <pageMargins left="0" right="0" top="0" bottom="0" header="0.31496062992125984" footer="0.31496062992125984"/>
  <pageSetup paperSize="9" scale="9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CDC1C-6CDC-488E-ACB2-CE332BCB4201}">
  <dimension ref="A3:J44"/>
  <sheetViews>
    <sheetView tabSelected="1" topLeftCell="A31" zoomScale="130" zoomScaleNormal="130" workbookViewId="0">
      <selection activeCell="C47" sqref="C47"/>
    </sheetView>
  </sheetViews>
  <sheetFormatPr defaultRowHeight="14.4" x14ac:dyDescent="0.3"/>
  <cols>
    <col min="1" max="1" width="10.33203125" bestFit="1" customWidth="1"/>
    <col min="2" max="2" width="34.109375" bestFit="1" customWidth="1"/>
    <col min="3" max="3" width="10.5546875" customWidth="1"/>
    <col min="4" max="4" width="9.109375" customWidth="1"/>
    <col min="5" max="5" width="14.21875" bestFit="1" customWidth="1"/>
    <col min="7" max="7" width="6" bestFit="1" customWidth="1"/>
    <col min="8" max="8" width="18" bestFit="1" customWidth="1"/>
    <col min="9" max="9" width="13.5546875" bestFit="1" customWidth="1"/>
    <col min="10" max="10" width="13.77734375" bestFit="1" customWidth="1"/>
  </cols>
  <sheetData>
    <row r="3" spans="1:10" x14ac:dyDescent="0.3">
      <c r="A3" s="41" t="s">
        <v>39</v>
      </c>
      <c r="B3" s="42" t="s">
        <v>43</v>
      </c>
      <c r="C3" s="42" t="s">
        <v>88</v>
      </c>
      <c r="D3" s="42" t="s">
        <v>89</v>
      </c>
      <c r="E3" s="43" t="s">
        <v>92</v>
      </c>
      <c r="G3" s="48" t="s">
        <v>105</v>
      </c>
      <c r="H3" s="48" t="s">
        <v>104</v>
      </c>
      <c r="I3" s="48" t="s">
        <v>103</v>
      </c>
      <c r="J3" s="48" t="s">
        <v>106</v>
      </c>
    </row>
    <row r="4" spans="1:10" x14ac:dyDescent="0.3">
      <c r="A4" s="39">
        <v>46053</v>
      </c>
      <c r="B4" s="1" t="s">
        <v>76</v>
      </c>
      <c r="C4" s="1">
        <v>2000</v>
      </c>
      <c r="D4" s="1"/>
      <c r="E4" s="40"/>
      <c r="G4" s="1">
        <v>1</v>
      </c>
      <c r="H4" s="1" t="s">
        <v>107</v>
      </c>
      <c r="I4" s="1">
        <v>9324118816</v>
      </c>
      <c r="J4" s="1">
        <v>25000</v>
      </c>
    </row>
    <row r="5" spans="1:10" x14ac:dyDescent="0.3">
      <c r="A5" s="39">
        <v>46074</v>
      </c>
      <c r="B5" s="1" t="s">
        <v>77</v>
      </c>
      <c r="C5" s="1">
        <v>200</v>
      </c>
      <c r="D5" s="1"/>
      <c r="E5" s="40"/>
      <c r="G5" s="1">
        <v>2</v>
      </c>
      <c r="H5" s="1" t="s">
        <v>108</v>
      </c>
      <c r="I5" s="1">
        <v>9324385044</v>
      </c>
      <c r="J5" s="1">
        <v>13000</v>
      </c>
    </row>
    <row r="6" spans="1:10" x14ac:dyDescent="0.3">
      <c r="A6" s="39">
        <v>46074</v>
      </c>
      <c r="B6" s="1" t="s">
        <v>78</v>
      </c>
      <c r="C6" s="1"/>
      <c r="D6" s="1">
        <v>100</v>
      </c>
      <c r="E6" s="40"/>
      <c r="G6" s="1">
        <v>3</v>
      </c>
      <c r="H6" s="1" t="s">
        <v>109</v>
      </c>
      <c r="I6" s="1">
        <v>9870364248</v>
      </c>
      <c r="J6" s="1">
        <v>2000</v>
      </c>
    </row>
    <row r="7" spans="1:10" x14ac:dyDescent="0.3">
      <c r="A7" s="39">
        <v>46074</v>
      </c>
      <c r="B7" s="1" t="s">
        <v>79</v>
      </c>
      <c r="C7" s="1"/>
      <c r="D7" s="1">
        <v>50</v>
      </c>
      <c r="E7" s="40"/>
      <c r="G7" s="86" t="s">
        <v>110</v>
      </c>
      <c r="H7" s="86"/>
      <c r="I7" s="86"/>
      <c r="J7" s="49">
        <f>SUM(J4:J6)</f>
        <v>40000</v>
      </c>
    </row>
    <row r="8" spans="1:10" x14ac:dyDescent="0.3">
      <c r="A8" s="39">
        <v>46076</v>
      </c>
      <c r="B8" s="1" t="s">
        <v>80</v>
      </c>
      <c r="C8" s="1"/>
      <c r="D8" s="1">
        <v>50</v>
      </c>
      <c r="E8" s="40"/>
    </row>
    <row r="9" spans="1:10" x14ac:dyDescent="0.3">
      <c r="A9" s="39">
        <v>46077</v>
      </c>
      <c r="B9" s="1" t="s">
        <v>82</v>
      </c>
      <c r="C9" s="1">
        <v>20</v>
      </c>
      <c r="D9" s="1"/>
      <c r="E9" s="40"/>
    </row>
    <row r="10" spans="1:10" x14ac:dyDescent="0.3">
      <c r="A10" s="39">
        <v>46077</v>
      </c>
      <c r="B10" s="1" t="s">
        <v>83</v>
      </c>
      <c r="C10" s="1"/>
      <c r="D10" s="1">
        <v>10</v>
      </c>
      <c r="E10" s="40"/>
    </row>
    <row r="11" spans="1:10" x14ac:dyDescent="0.3">
      <c r="A11" s="39">
        <v>46078</v>
      </c>
      <c r="B11" s="1" t="s">
        <v>84</v>
      </c>
      <c r="C11" s="1"/>
      <c r="D11" s="1">
        <v>10</v>
      </c>
      <c r="E11" s="40"/>
    </row>
    <row r="12" spans="1:10" x14ac:dyDescent="0.3">
      <c r="A12" s="39">
        <v>46078</v>
      </c>
      <c r="B12" s="1" t="s">
        <v>81</v>
      </c>
      <c r="C12" s="1">
        <v>200</v>
      </c>
      <c r="D12" s="1"/>
      <c r="E12" s="40"/>
    </row>
    <row r="13" spans="1:10" x14ac:dyDescent="0.3">
      <c r="A13" s="39">
        <v>46079</v>
      </c>
      <c r="B13" s="1" t="s">
        <v>85</v>
      </c>
      <c r="C13" s="1"/>
      <c r="D13" s="1">
        <v>10</v>
      </c>
      <c r="E13" s="40"/>
    </row>
    <row r="14" spans="1:10" x14ac:dyDescent="0.3">
      <c r="A14" s="39">
        <v>46079</v>
      </c>
      <c r="B14" s="1" t="s">
        <v>86</v>
      </c>
      <c r="C14" s="1"/>
      <c r="D14" s="1">
        <v>20</v>
      </c>
      <c r="E14" s="40"/>
    </row>
    <row r="15" spans="1:10" x14ac:dyDescent="0.3">
      <c r="A15" s="39">
        <v>46080</v>
      </c>
      <c r="B15" s="1" t="s">
        <v>87</v>
      </c>
      <c r="C15" s="1"/>
      <c r="D15" s="1">
        <v>8</v>
      </c>
      <c r="E15" s="40"/>
    </row>
    <row r="16" spans="1:10" x14ac:dyDescent="0.3">
      <c r="A16" s="39">
        <v>46081</v>
      </c>
      <c r="B16" s="1" t="s">
        <v>90</v>
      </c>
      <c r="C16" s="1"/>
      <c r="D16" s="1">
        <v>4000</v>
      </c>
      <c r="E16" s="40"/>
    </row>
    <row r="17" spans="1:5" x14ac:dyDescent="0.3">
      <c r="A17" s="39">
        <v>46081</v>
      </c>
      <c r="B17" s="1" t="s">
        <v>91</v>
      </c>
      <c r="C17" s="1">
        <v>-1000</v>
      </c>
      <c r="D17" s="1"/>
      <c r="E17" s="40"/>
    </row>
    <row r="18" spans="1:5" x14ac:dyDescent="0.3">
      <c r="A18" s="44" t="s">
        <v>18</v>
      </c>
      <c r="B18" s="45"/>
      <c r="C18" s="46">
        <f>SUM(C4:C17)</f>
        <v>1420</v>
      </c>
      <c r="D18" s="46">
        <f>SUM(D6:D16)</f>
        <v>4258</v>
      </c>
      <c r="E18" s="47">
        <f>D18-C18</f>
        <v>2838</v>
      </c>
    </row>
    <row r="21" spans="1:5" x14ac:dyDescent="0.3">
      <c r="A21" s="42" t="s">
        <v>39</v>
      </c>
      <c r="B21" s="42" t="s">
        <v>43</v>
      </c>
      <c r="C21" s="42" t="s">
        <v>93</v>
      </c>
      <c r="D21" s="42" t="s">
        <v>94</v>
      </c>
      <c r="E21" s="42" t="s">
        <v>102</v>
      </c>
    </row>
    <row r="22" spans="1:5" x14ac:dyDescent="0.3">
      <c r="A22" s="20">
        <v>46076</v>
      </c>
      <c r="B22" t="s">
        <v>97</v>
      </c>
      <c r="D22">
        <v>15</v>
      </c>
    </row>
    <row r="23" spans="1:5" x14ac:dyDescent="0.3">
      <c r="A23" s="20">
        <v>46076</v>
      </c>
      <c r="B23" t="s">
        <v>98</v>
      </c>
      <c r="C23">
        <v>15</v>
      </c>
    </row>
    <row r="24" spans="1:5" x14ac:dyDescent="0.3">
      <c r="A24" s="20">
        <v>46077</v>
      </c>
      <c r="B24" t="s">
        <v>97</v>
      </c>
      <c r="C24">
        <v>36</v>
      </c>
    </row>
    <row r="25" spans="1:5" x14ac:dyDescent="0.3">
      <c r="A25" s="20">
        <v>46077</v>
      </c>
      <c r="B25" t="s">
        <v>96</v>
      </c>
      <c r="D25">
        <v>20</v>
      </c>
    </row>
    <row r="26" spans="1:5" x14ac:dyDescent="0.3">
      <c r="A26" s="20">
        <v>46079</v>
      </c>
      <c r="B26" t="s">
        <v>95</v>
      </c>
      <c r="C26">
        <v>30</v>
      </c>
    </row>
    <row r="27" spans="1:5" x14ac:dyDescent="0.3">
      <c r="A27" s="20">
        <v>46080</v>
      </c>
      <c r="B27" t="s">
        <v>99</v>
      </c>
      <c r="C27">
        <v>22</v>
      </c>
    </row>
    <row r="28" spans="1:5" x14ac:dyDescent="0.3">
      <c r="A28" s="20">
        <v>46081</v>
      </c>
      <c r="B28" t="s">
        <v>97</v>
      </c>
      <c r="C28">
        <v>23</v>
      </c>
    </row>
    <row r="29" spans="1:5" x14ac:dyDescent="0.3">
      <c r="A29" s="34" t="s">
        <v>100</v>
      </c>
      <c r="B29" s="34"/>
      <c r="C29" s="2">
        <f>SUM(C23:C28)</f>
        <v>126</v>
      </c>
      <c r="D29" s="2">
        <f>SUM(D22:D28)</f>
        <v>35</v>
      </c>
      <c r="E29" s="2"/>
    </row>
    <row r="30" spans="1:5" x14ac:dyDescent="0.3">
      <c r="A30" s="34" t="s">
        <v>101</v>
      </c>
      <c r="B30" s="34"/>
      <c r="C30" s="2">
        <f>C29/2</f>
        <v>63</v>
      </c>
      <c r="D30" s="2">
        <f>D29/2</f>
        <v>17.5</v>
      </c>
      <c r="E30" s="2">
        <f>C30-D30</f>
        <v>45.5</v>
      </c>
    </row>
    <row r="33" spans="1:5" x14ac:dyDescent="0.3">
      <c r="A33" s="41" t="s">
        <v>39</v>
      </c>
      <c r="B33" s="42" t="s">
        <v>43</v>
      </c>
      <c r="C33" s="42" t="s">
        <v>88</v>
      </c>
      <c r="D33" s="42" t="s">
        <v>89</v>
      </c>
      <c r="E33" s="43" t="s">
        <v>92</v>
      </c>
    </row>
    <row r="34" spans="1:5" x14ac:dyDescent="0.3">
      <c r="A34" s="39">
        <v>46086</v>
      </c>
      <c r="B34" s="1" t="s">
        <v>146</v>
      </c>
      <c r="C34" s="1">
        <v>40</v>
      </c>
      <c r="D34" s="1"/>
      <c r="E34" s="40"/>
    </row>
    <row r="35" spans="1:5" x14ac:dyDescent="0.3">
      <c r="A35" s="39">
        <v>46086</v>
      </c>
      <c r="B35" s="1" t="s">
        <v>147</v>
      </c>
      <c r="C35" s="1"/>
      <c r="D35" s="1">
        <v>6</v>
      </c>
      <c r="E35" s="40"/>
    </row>
    <row r="36" spans="1:5" x14ac:dyDescent="0.3">
      <c r="A36" s="39">
        <v>46088</v>
      </c>
      <c r="B36" s="1" t="s">
        <v>149</v>
      </c>
      <c r="C36" s="1">
        <v>200</v>
      </c>
      <c r="D36" s="1"/>
      <c r="E36" s="40"/>
    </row>
    <row r="37" spans="1:5" x14ac:dyDescent="0.3">
      <c r="A37" s="39">
        <v>46088</v>
      </c>
      <c r="B37" s="1" t="s">
        <v>150</v>
      </c>
      <c r="C37" s="1"/>
      <c r="D37" s="1">
        <v>124</v>
      </c>
      <c r="E37" s="40"/>
    </row>
    <row r="38" spans="1:5" x14ac:dyDescent="0.3">
      <c r="A38" s="39">
        <v>46088</v>
      </c>
      <c r="B38" s="1" t="s">
        <v>148</v>
      </c>
      <c r="C38" s="1"/>
      <c r="D38" s="1">
        <f>15+12+30</f>
        <v>57</v>
      </c>
      <c r="E38" s="40"/>
    </row>
    <row r="39" spans="1:5" x14ac:dyDescent="0.3">
      <c r="A39" s="39">
        <v>46090</v>
      </c>
      <c r="B39" s="1" t="s">
        <v>151</v>
      </c>
      <c r="C39" s="1">
        <v>1250</v>
      </c>
      <c r="D39" s="1">
        <v>1250</v>
      </c>
      <c r="E39" s="40"/>
    </row>
    <row r="40" spans="1:5" x14ac:dyDescent="0.3">
      <c r="A40" s="39">
        <v>46096</v>
      </c>
      <c r="B40" s="1" t="s">
        <v>165</v>
      </c>
      <c r="C40" s="1">
        <v>1000</v>
      </c>
      <c r="D40" s="1"/>
      <c r="E40" s="40"/>
    </row>
    <row r="41" spans="1:5" x14ac:dyDescent="0.3">
      <c r="A41" s="39">
        <v>46096</v>
      </c>
      <c r="B41" s="1" t="s">
        <v>164</v>
      </c>
      <c r="C41" s="1"/>
      <c r="D41" s="1">
        <v>1935</v>
      </c>
      <c r="E41" s="40"/>
    </row>
    <row r="42" spans="1:5" x14ac:dyDescent="0.3">
      <c r="A42" s="39">
        <v>46096</v>
      </c>
      <c r="B42" s="88" t="s">
        <v>166</v>
      </c>
      <c r="C42" s="90">
        <v>309</v>
      </c>
      <c r="D42" s="90"/>
      <c r="E42" s="87"/>
    </row>
    <row r="43" spans="1:5" x14ac:dyDescent="0.3">
      <c r="A43" s="89"/>
      <c r="B43" s="88"/>
      <c r="C43" s="90"/>
      <c r="D43" s="90"/>
      <c r="E43" s="87"/>
    </row>
    <row r="44" spans="1:5" x14ac:dyDescent="0.3">
      <c r="A44" s="44" t="s">
        <v>18</v>
      </c>
      <c r="B44" s="45"/>
      <c r="C44" s="46">
        <f>SUM(C34:C42)</f>
        <v>2799</v>
      </c>
      <c r="D44" s="46">
        <f>SUM(D34:D42)</f>
        <v>3372</v>
      </c>
      <c r="E44" s="47">
        <f>D44-C44</f>
        <v>573</v>
      </c>
    </row>
  </sheetData>
  <mergeCells count="1">
    <mergeCell ref="G7:I7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Quotation (3)</vt:lpstr>
      <vt:lpstr>Quotation (2)</vt:lpstr>
      <vt:lpstr>Quotation</vt:lpstr>
      <vt:lpstr>Tax Invoice (2)</vt:lpstr>
      <vt:lpstr>Tax Invoice</vt:lpstr>
      <vt:lpstr>Ledger</vt:lpstr>
      <vt:lpstr>Sheet1</vt:lpstr>
      <vt:lpstr>Quotation!Print_Area</vt:lpstr>
      <vt:lpstr>'Quotation (2)'!Print_Area</vt:lpstr>
      <vt:lpstr>'Quotation (3)'!Print_Area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Sivaramaiah KOWRATI</dc:creator>
  <cp:lastModifiedBy>Sivaramaiah KOWRATI</cp:lastModifiedBy>
  <cp:lastPrinted>2026-03-10T12:47:41Z</cp:lastPrinted>
  <dcterms:created xsi:type="dcterms:W3CDTF">2026-02-03T14:10:48Z</dcterms:created>
  <dcterms:modified xsi:type="dcterms:W3CDTF">2026-03-11T11:02:28Z</dcterms:modified>
</cp:coreProperties>
</file>