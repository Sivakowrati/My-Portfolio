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9079919bc432a5b/Desktop/"/>
    </mc:Choice>
  </mc:AlternateContent>
  <xr:revisionPtr revIDLastSave="3" documentId="13_ncr:1_{4DF556B0-4C8E-4E6D-9E84-CA4E8E0F08B6}" xr6:coauthVersionLast="47" xr6:coauthVersionMax="47" xr10:uidLastSave="{837765BB-2286-4D00-8F2E-7B6987E8F1A0}"/>
  <bookViews>
    <workbookView xWindow="-108" yWindow="-108" windowWidth="23256" windowHeight="13896" activeTab="3" xr2:uid="{4620FC54-771D-4926-8659-17E0E58491A5}"/>
  </bookViews>
  <sheets>
    <sheet name="Quotation (2)" sheetId="10" r:id="rId1"/>
    <sheet name="Quotation" sheetId="8" r:id="rId2"/>
    <sheet name="Tax Invoice (2)" sheetId="11" r:id="rId3"/>
    <sheet name="Tax Invoice" sheetId="5" r:id="rId4"/>
  </sheets>
  <functionGroups builtInGroupCount="19"/>
  <definedNames>
    <definedName name="_xlnm.Print_Area" localSheetId="1">Quotation!$A$1:$J$76</definedName>
    <definedName name="_xlnm.Print_Area" localSheetId="0">'Quotation (2)'!$A$1:$J$78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3" i="11" l="1"/>
  <c r="J31" i="8"/>
  <c r="J22" i="5"/>
  <c r="J23" i="5"/>
  <c r="J24" i="5"/>
  <c r="J25" i="5"/>
  <c r="J21" i="5"/>
  <c r="J24" i="11" l="1"/>
  <c r="J25" i="11" s="1"/>
  <c r="J32" i="8"/>
  <c r="J28" i="5"/>
  <c r="J33" i="8" l="1"/>
  <c r="J34" i="8" s="1"/>
  <c r="J29" i="5"/>
  <c r="J30" i="5" s="1"/>
</calcChain>
</file>

<file path=xl/sharedStrings.xml><?xml version="1.0" encoding="utf-8"?>
<sst xmlns="http://schemas.openxmlformats.org/spreadsheetml/2006/main" count="138" uniqueCount="78">
  <si>
    <t>SHARJAH | DUBAI | ABU DHABI</t>
  </si>
  <si>
    <t>Sales • Service • Rental - Printers &amp; Toners</t>
  </si>
  <si>
    <t xml:space="preserve">Tax Invoice </t>
  </si>
  <si>
    <t>PC/INV/26-02/01</t>
  </si>
  <si>
    <t>Date: 09/02/2026</t>
  </si>
  <si>
    <t>Bill To:</t>
  </si>
  <si>
    <t>Quality International,</t>
  </si>
  <si>
    <t>306, Al Saud Building 2,</t>
  </si>
  <si>
    <t>Al Qusais Industrial 4,</t>
  </si>
  <si>
    <t>Beirut St, Dubai.</t>
  </si>
  <si>
    <t>Ms. Fareen</t>
  </si>
  <si>
    <t>+971 553733800</t>
  </si>
  <si>
    <t>Sl. No</t>
  </si>
  <si>
    <t>Qty</t>
  </si>
  <si>
    <t>Rate (AED)</t>
  </si>
  <si>
    <t>Sub Total</t>
  </si>
  <si>
    <t>Item Description</t>
  </si>
  <si>
    <t>VAT (5%)</t>
  </si>
  <si>
    <t>Total Amount</t>
  </si>
  <si>
    <t xml:space="preserve">Amount in Words: </t>
  </si>
  <si>
    <t>Canon Exv51 Black</t>
  </si>
  <si>
    <t>Canon Exv51 Magenta</t>
  </si>
  <si>
    <t>Canon Exv51 Yellow</t>
  </si>
  <si>
    <t>Canon Exv54 Black Toner</t>
  </si>
  <si>
    <t>Canon Exv54 Yellow Toner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</si>
  <si>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2"/>
        <color theme="1"/>
        <rFont val="Calibri"/>
        <family val="2"/>
      </rPr>
      <t>Warranty as per OEM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</si>
  <si>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2"/>
        <color theme="1"/>
        <rFont val="Calibri"/>
        <family val="2"/>
      </rPr>
      <t xml:space="preserve">Recieved goods in good condition 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</si>
  <si>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2"/>
        <color theme="1"/>
        <rFont val="Calibri"/>
        <family val="2"/>
      </rPr>
      <t>Total payment is due in 7 Days</t>
    </r>
  </si>
  <si>
    <t>Print Care Office Equipment TR LLC</t>
  </si>
  <si>
    <t xml:space="preserve">Customer Signature </t>
  </si>
  <si>
    <t xml:space="preserve">Print Care Office Equipment TR LLC | Muwaileh Commercial, Sharjah, UAE </t>
  </si>
  <si>
    <t>www.printcareglobal.ae | Email - siva@printcareglobal.ae | +971 56 486 4535</t>
  </si>
  <si>
    <t>Two Thousand and Fifty Eight Dirhams and Zero Fills Only</t>
  </si>
  <si>
    <t>United Arab Emirates,</t>
  </si>
  <si>
    <t>Looking forward to receiving your valued orders and assure you of our best services always,</t>
  </si>
  <si>
    <t>Quotation</t>
  </si>
  <si>
    <t>Ref No</t>
  </si>
  <si>
    <t>Best Regards,</t>
  </si>
  <si>
    <t>Print Care Offcie Equipment Tr LLC,</t>
  </si>
  <si>
    <t>Muweilah Sharjah, UAE</t>
  </si>
  <si>
    <t>Siva Kowrati,</t>
  </si>
  <si>
    <t>Sales &amp; Marketing,</t>
  </si>
  <si>
    <t>+971 564864535</t>
  </si>
  <si>
    <t>Dear Sir/Madam,</t>
  </si>
  <si>
    <t>To:</t>
  </si>
  <si>
    <t>Print Care Office Equipment TR LLC | Muwaileh Commercial, Sharjah, UAE 
www.printcareglobal.ae | Email - siva@printcareglobal.ae | +971 56 486 4535</t>
  </si>
  <si>
    <t>SHARJAH | DUBAI | ABU DHABI
Sales • Service • Rental - Printers &amp; Toners</t>
  </si>
  <si>
    <t>Epson L6270 Ink</t>
  </si>
  <si>
    <t>1 Set</t>
  </si>
  <si>
    <t>A4 Size Paper</t>
  </si>
  <si>
    <t xml:space="preserve">1 Carton </t>
  </si>
  <si>
    <t>Set</t>
  </si>
  <si>
    <t>Rate</t>
  </si>
  <si>
    <t>229 + Vat</t>
  </si>
  <si>
    <t>75 + Vat</t>
  </si>
  <si>
    <t>In response to your instruction, we hereby submit our best rate for Service and Parts for your kind perusal.</t>
  </si>
  <si>
    <t>Please feel free to contact us for clarification, if any</t>
  </si>
  <si>
    <t>Subject: Quotation for Epson L6270 Ink &amp; A4 Size Paper</t>
  </si>
  <si>
    <t>Arabian Furt Auto Spare Parts LLC</t>
  </si>
  <si>
    <t>Sharjah,</t>
  </si>
  <si>
    <t>Industrial Area 5,</t>
  </si>
  <si>
    <t>+971 506383821</t>
  </si>
  <si>
    <t>Rashid Sir</t>
  </si>
  <si>
    <t>: PC/QUOT/20</t>
  </si>
  <si>
    <t>Type</t>
  </si>
  <si>
    <t>Warranty</t>
  </si>
  <si>
    <t>Sales</t>
  </si>
  <si>
    <t>Rentals</t>
  </si>
  <si>
    <t>Reconditioned</t>
  </si>
  <si>
    <t>6 Months</t>
  </si>
  <si>
    <t>1700 + VAT</t>
  </si>
  <si>
    <t>AED 200 + VAT 
Free Copies 2000BW &amp; 700CL 
Extra Copy Charges BW4FILLS &amp; 
CL14FILLS</t>
  </si>
  <si>
    <t>Canon iR ADV C256i  Printer: 25 
ppm, A4 Color MFP, print, copy, 
scan, Duplex Print, Duplex Scan</t>
  </si>
  <si>
    <t>Epson L6270 Ink (BK, C, M,Y)</t>
  </si>
  <si>
    <t>3 Box</t>
  </si>
  <si>
    <t>Four Hundrad Seventy Six Dirhams and Seventy Fills Only</t>
  </si>
  <si>
    <t>Date: 07/03/2026</t>
  </si>
  <si>
    <t>PC/INV/26-03/04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</si>
</sst>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2"/>
      <color rgb="FF767171"/>
      <name val="Calibri"/>
      <family val="2"/>
    </font>
    <font>
      <b/>
      <sz val="12"/>
      <color theme="1"/>
      <name val="Calibri"/>
      <family val="2"/>
    </font>
    <font>
      <b/>
      <sz val="12"/>
      <color rgb="FFA6A6A6"/>
      <name val="Roboto"/>
    </font>
    <font>
      <sz val="12"/>
      <color theme="1"/>
      <name val="Symbol"/>
      <family val="1"/>
      <charset val="2"/>
    </font>
    <font>
      <sz val="7"/>
      <color theme="1"/>
      <name val="Times New Roman"/>
      <family val="1"/>
    </font>
    <font>
      <sz val="11"/>
      <color theme="1"/>
      <name val="Times New Roman"/>
      <family val="1"/>
    </font>
    <font>
      <b/>
      <u/>
      <sz val="12"/>
      <color theme="1"/>
      <name val="Aptos Narrow"/>
      <family val="2"/>
      <scheme val="minor"/>
    </font>
    <font>
      <b/>
      <sz val="11"/>
      <color theme="2" tint="-0.749992370372631"/>
      <name val="Aptos Narrow"/>
      <family val="2"/>
      <scheme val="minor"/>
    </font>
    <font>
      <b/>
      <u/>
      <sz val="16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0" fontId="0" fillId="0" borderId="0" xfId="0" applyAlignment="1">
      <alignment horizontal="center"/>
    </xf>
    <xf numFmtId="2" fontId="1" fillId="0" borderId="1" xfId="0" applyNumberFormat="1" applyFont="1" applyBorder="1"/>
    <xf numFmtId="0" fontId="1" fillId="0" borderId="0" xfId="0" applyFont="1" applyAlignment="1">
      <alignment horizontal="left"/>
    </xf>
    <xf numFmtId="0" fontId="3" fillId="0" borderId="0" xfId="0" applyFont="1"/>
    <xf numFmtId="0" fontId="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/>
    <xf numFmtId="0" fontId="4" fillId="0" borderId="0" xfId="0" applyFont="1" applyAlignment="1">
      <alignment vertical="center"/>
    </xf>
    <xf numFmtId="0" fontId="1" fillId="0" borderId="0" xfId="0" quotePrefix="1" applyFont="1"/>
    <xf numFmtId="0" fontId="6" fillId="0" borderId="0" xfId="0" applyFont="1" applyAlignment="1">
      <alignment horizontal="left" vertical="center" indent="6"/>
    </xf>
    <xf numFmtId="0" fontId="2" fillId="0" borderId="0" xfId="0" applyFont="1" applyAlignment="1">
      <alignment horizontal="left" vertical="center" indent="6"/>
    </xf>
    <xf numFmtId="0" fontId="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4" fontId="0" fillId="0" borderId="0" xfId="0" applyNumberFormat="1"/>
    <xf numFmtId="0" fontId="2" fillId="0" borderId="0" xfId="0" applyFont="1" applyAlignment="1">
      <alignment vertical="center"/>
    </xf>
    <xf numFmtId="0" fontId="0" fillId="0" borderId="0" xfId="0" quotePrefix="1"/>
    <xf numFmtId="0" fontId="9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left" vertical="center" wrapText="1"/>
    </xf>
    <xf numFmtId="2" fontId="0" fillId="0" borderId="0" xfId="0" applyNumberForma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vertical="center" wrapText="1"/>
    </xf>
    <xf numFmtId="2" fontId="0" fillId="0" borderId="1" xfId="0" applyNumberFormat="1" applyBorder="1" applyAlignment="1">
      <alignment horizontal="center" vertical="center" wrapText="1"/>
    </xf>
    <xf numFmtId="0" fontId="1" fillId="0" borderId="0" xfId="0" applyFont="1" applyAlignment="1">
      <alignment horizontal="right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0" xfId="0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right" vertical="center" wrapText="1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</xdr:row>
      <xdr:rowOff>91440</xdr:rowOff>
    </xdr:from>
    <xdr:to>
      <xdr:col>10</xdr:col>
      <xdr:colOff>0</xdr:colOff>
      <xdr:row>4</xdr:row>
      <xdr:rowOff>99060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94299865-BD61-4DC8-88D9-10E430E092BD}"/>
            </a:ext>
          </a:extLst>
        </xdr:cNvPr>
        <xdr:cNvCxnSpPr>
          <a:cxnSpLocks/>
        </xdr:cNvCxnSpPr>
      </xdr:nvCxnSpPr>
      <xdr:spPr>
        <a:xfrm>
          <a:off x="152400" y="822960"/>
          <a:ext cx="7757160" cy="762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>
    <xdr:from>
      <xdr:col>0</xdr:col>
      <xdr:colOff>129540</xdr:colOff>
      <xdr:row>75</xdr:row>
      <xdr:rowOff>76200</xdr:rowOff>
    </xdr:from>
    <xdr:to>
      <xdr:col>10</xdr:col>
      <xdr:colOff>0</xdr:colOff>
      <xdr:row>75</xdr:row>
      <xdr:rowOff>91440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4B2200C-CF05-4D35-8511-68E512F8F7B4}"/>
            </a:ext>
          </a:extLst>
        </xdr:cNvPr>
        <xdr:cNvCxnSpPr>
          <a:cxnSpLocks/>
        </xdr:cNvCxnSpPr>
      </xdr:nvCxnSpPr>
      <xdr:spPr>
        <a:xfrm>
          <a:off x="129540" y="13738860"/>
          <a:ext cx="7780020" cy="1524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 editAs="oneCell">
    <xdr:from>
      <xdr:col>0</xdr:col>
      <xdr:colOff>495300</xdr:colOff>
      <xdr:row>0</xdr:row>
      <xdr:rowOff>22860</xdr:rowOff>
    </xdr:from>
    <xdr:to>
      <xdr:col>5</xdr:col>
      <xdr:colOff>96520</xdr:colOff>
      <xdr:row>4</xdr:row>
      <xdr:rowOff>76835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18CBF62-0B2A-42C2-8E56-A3E94497E6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/>
      </xdr:blipFill>
      <xdr:spPr>
        <a:xfrm>
          <a:off x="495300" y="22860"/>
          <a:ext cx="2725420" cy="7854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</xdr:row>
      <xdr:rowOff>91440</xdr:rowOff>
    </xdr:from>
    <xdr:to>
      <xdr:col>10</xdr:col>
      <xdr:colOff>0</xdr:colOff>
      <xdr:row>4</xdr:row>
      <xdr:rowOff>99060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ABD26519-1B7F-4AFE-8626-A56CFB28467D}"/>
            </a:ext>
          </a:extLst>
        </xdr:cNvPr>
        <xdr:cNvCxnSpPr>
          <a:cxnSpLocks/>
        </xdr:cNvCxnSpPr>
      </xdr:nvCxnSpPr>
      <xdr:spPr>
        <a:xfrm>
          <a:off x="152400" y="822960"/>
          <a:ext cx="7162800" cy="762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>
    <xdr:from>
      <xdr:col>0</xdr:col>
      <xdr:colOff>129540</xdr:colOff>
      <xdr:row>73</xdr:row>
      <xdr:rowOff>76200</xdr:rowOff>
    </xdr:from>
    <xdr:to>
      <xdr:col>10</xdr:col>
      <xdr:colOff>0</xdr:colOff>
      <xdr:row>73</xdr:row>
      <xdr:rowOff>91440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DDC699ED-D21B-4A7B-9AD1-0231B1FEA95A}"/>
            </a:ext>
          </a:extLst>
        </xdr:cNvPr>
        <xdr:cNvCxnSpPr>
          <a:cxnSpLocks/>
        </xdr:cNvCxnSpPr>
      </xdr:nvCxnSpPr>
      <xdr:spPr>
        <a:xfrm>
          <a:off x="129540" y="11559540"/>
          <a:ext cx="7353300" cy="1524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 editAs="oneCell">
    <xdr:from>
      <xdr:col>0</xdr:col>
      <xdr:colOff>495300</xdr:colOff>
      <xdr:row>0</xdr:row>
      <xdr:rowOff>22860</xdr:rowOff>
    </xdr:from>
    <xdr:to>
      <xdr:col>5</xdr:col>
      <xdr:colOff>96520</xdr:colOff>
      <xdr:row>4</xdr:row>
      <xdr:rowOff>76835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DF2E03B-B2C8-40C7-814E-2546F9E5C5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/>
      </xdr:blipFill>
      <xdr:spPr>
        <a:xfrm>
          <a:off x="495300" y="22860"/>
          <a:ext cx="2725420" cy="7854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7620</xdr:rowOff>
    </xdr:from>
    <xdr:to>
      <xdr:col>5</xdr:col>
      <xdr:colOff>248920</xdr:colOff>
      <xdr:row>4</xdr:row>
      <xdr:rowOff>31115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EC33881-A175-448C-881E-CDCB8BF73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/>
      </xdr:blipFill>
      <xdr:spPr>
        <a:xfrm>
          <a:off x="647700" y="7620"/>
          <a:ext cx="2725420" cy="785495"/>
        </a:xfrm>
        <a:prstGeom prst="rect">
          <a:avLst/>
        </a:prstGeom>
      </xdr:spPr>
    </xdr:pic>
    <xdr:clientData/>
  </xdr:twoCellAnchor>
  <xdr:twoCellAnchor>
    <xdr:from>
      <xdr:col>0</xdr:col>
      <xdr:colOff>312420</xdr:colOff>
      <xdr:row>4</xdr:row>
      <xdr:rowOff>106680</xdr:rowOff>
    </xdr:from>
    <xdr:to>
      <xdr:col>10</xdr:col>
      <xdr:colOff>449580</xdr:colOff>
      <xdr:row>4</xdr:row>
      <xdr:rowOff>114300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C1FA7857-3ACD-48A6-BE93-1841C5D89AFB}"/>
            </a:ext>
          </a:extLst>
        </xdr:cNvPr>
        <xdr:cNvCxnSpPr>
          <a:cxnSpLocks/>
        </xdr:cNvCxnSpPr>
      </xdr:nvCxnSpPr>
      <xdr:spPr>
        <a:xfrm flipV="1">
          <a:off x="312420" y="868680"/>
          <a:ext cx="6461760" cy="762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>
    <xdr:from>
      <xdr:col>7</xdr:col>
      <xdr:colOff>200920</xdr:colOff>
      <xdr:row>36</xdr:row>
      <xdr:rowOff>177676</xdr:rowOff>
    </xdr:from>
    <xdr:to>
      <xdr:col>10</xdr:col>
      <xdr:colOff>109480</xdr:colOff>
      <xdr:row>42</xdr:row>
      <xdr:rowOff>27217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7F7CB1CB-9F0F-4C05-B650-5E2FC04D48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4"/>
        <a:stretch>
          <a:fillRect/>
        </a:stretch>
      </xdr:blipFill>
      <xdr:spPr bwMode="auto">
        <a:xfrm rot="-547056">
          <a:off x="4544320" y="7889116"/>
          <a:ext cx="1889760" cy="977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281940</xdr:colOff>
      <xdr:row>51</xdr:row>
      <xdr:rowOff>129540</xdr:rowOff>
    </xdr:from>
    <xdr:to>
      <xdr:col>10</xdr:col>
      <xdr:colOff>449580</xdr:colOff>
      <xdr:row>51</xdr:row>
      <xdr:rowOff>160020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252FDFF-BAEC-4B5A-8F19-CD94879DEE41}"/>
            </a:ext>
          </a:extLst>
        </xdr:cNvPr>
        <xdr:cNvCxnSpPr>
          <a:cxnSpLocks/>
        </xdr:cNvCxnSpPr>
      </xdr:nvCxnSpPr>
      <xdr:spPr>
        <a:xfrm flipV="1">
          <a:off x="281940" y="10629900"/>
          <a:ext cx="6492240" cy="3048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7620</xdr:rowOff>
    </xdr:from>
    <xdr:to>
      <xdr:col>5</xdr:col>
      <xdr:colOff>248920</xdr:colOff>
      <xdr:row>4</xdr:row>
      <xdr:rowOff>31115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E183C3-CCA8-F98F-F125-FFA3E51B4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/>
      </xdr:blipFill>
      <xdr:spPr>
        <a:xfrm>
          <a:off x="647700" y="190500"/>
          <a:ext cx="2725420" cy="785495"/>
        </a:xfrm>
        <a:prstGeom prst="rect">
          <a:avLst/>
        </a:prstGeom>
      </xdr:spPr>
    </xdr:pic>
    <xdr:clientData/>
  </xdr:twoCellAnchor>
  <xdr:twoCellAnchor>
    <xdr:from>
      <xdr:col>0</xdr:col>
      <xdr:colOff>312420</xdr:colOff>
      <xdr:row>4</xdr:row>
      <xdr:rowOff>106680</xdr:rowOff>
    </xdr:from>
    <xdr:to>
      <xdr:col>10</xdr:col>
      <xdr:colOff>449580</xdr:colOff>
      <xdr:row>4</xdr:row>
      <xdr:rowOff>114300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CD72E0CA-AAFA-6E92-7906-2C775282EAB1}"/>
            </a:ext>
          </a:extLst>
        </xdr:cNvPr>
        <xdr:cNvCxnSpPr>
          <a:cxnSpLocks/>
        </xdr:cNvCxnSpPr>
      </xdr:nvCxnSpPr>
      <xdr:spPr>
        <a:xfrm flipV="1">
          <a:off x="312420" y="868680"/>
          <a:ext cx="6461760" cy="762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  <xdr:twoCellAnchor>
    <xdr:from>
      <xdr:col>7</xdr:col>
      <xdr:colOff>200920</xdr:colOff>
      <xdr:row>41</xdr:row>
      <xdr:rowOff>177676</xdr:rowOff>
    </xdr:from>
    <xdr:to>
      <xdr:col>10</xdr:col>
      <xdr:colOff>109480</xdr:colOff>
      <xdr:row>47</xdr:row>
      <xdr:rowOff>27217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5ECA445-7D4F-3469-94FA-1818BC32E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4"/>
        <a:stretch>
          <a:fillRect/>
        </a:stretch>
      </xdr:blipFill>
      <xdr:spPr bwMode="auto">
        <a:xfrm rot="-547056">
          <a:off x="4544320" y="6928996"/>
          <a:ext cx="1889760" cy="977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281940</xdr:colOff>
      <xdr:row>56</xdr:row>
      <xdr:rowOff>129540</xdr:rowOff>
    </xdr:from>
    <xdr:to>
      <xdr:col>10</xdr:col>
      <xdr:colOff>449580</xdr:colOff>
      <xdr:row>56</xdr:row>
      <xdr:rowOff>160020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E216DB2C-12DE-D6D7-5E52-43D1B7890B1E}"/>
            </a:ext>
          </a:extLst>
        </xdr:cNvPr>
        <xdr:cNvCxnSpPr>
          <a:cxnSpLocks/>
        </xdr:cNvCxnSpPr>
      </xdr:nvCxnSpPr>
      <xdr:spPr>
        <a:xfrm flipV="1">
          <a:off x="281940" y="9669780"/>
          <a:ext cx="6492240" cy="30480"/>
        </a:xfrm>
        <a:prstGeom prst="line">
          <a:avLst/>
        </a:prstGeom>
        <a:ln w="6350" cap="flat" cmpd="sng">
          <a:solidFill>
            <a:srgbClr val="000000"/>
          </a:solidFill>
          <a:prstDash val="solid"/>
          <a:miter/>
          <a:headEnd/>
          <a:tailEnd/>
        </a:ln>
      </xdr:spPr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AAF0B-3781-469A-9EEF-BF4C1FCA9417}">
  <sheetPr codeName="Sheet7">
    <pageSetUpPr fitToPage="1"/>
  </sheetPr>
  <dimension ref="A1:J80"/>
  <sheetViews>
    <sheetView view="pageBreakPreview" topLeftCell="A27" zoomScaleNormal="100" zoomScaleSheetLayoutView="100" workbookViewId="0">
      <selection activeCell="F37" sqref="F37"/>
    </sheetView>
  </sheetViews>
  <sheetFormatPr defaultRowHeight="14.4" x14ac:dyDescent="0.3"/>
  <cols>
    <col min="2" max="2" width="10" bestFit="1" customWidth="1"/>
    <col min="6" max="6" width="12.5546875" bestFit="1" customWidth="1"/>
    <col min="7" max="7" width="17.33203125" bestFit="1" customWidth="1"/>
    <col min="8" max="8" width="9.77734375" bestFit="1" customWidth="1"/>
    <col min="9" max="9" width="28.88671875" customWidth="1"/>
    <col min="10" max="10" width="19.5546875" customWidth="1"/>
  </cols>
  <sheetData>
    <row r="1" spans="1:10" ht="14.4" customHeight="1" x14ac:dyDescent="0.3">
      <c r="G1" s="44" t="s">
        <v>46</v>
      </c>
      <c r="H1" s="44"/>
      <c r="I1" s="44"/>
      <c r="J1" s="44"/>
    </row>
    <row r="2" spans="1:10" x14ac:dyDescent="0.3">
      <c r="G2" s="44"/>
      <c r="H2" s="44"/>
      <c r="I2" s="44"/>
      <c r="J2" s="44"/>
    </row>
    <row r="3" spans="1:10" x14ac:dyDescent="0.3">
      <c r="G3" s="44"/>
      <c r="H3" s="44"/>
      <c r="I3" s="44"/>
      <c r="J3" s="44"/>
    </row>
    <row r="4" spans="1:10" x14ac:dyDescent="0.3">
      <c r="G4" s="44"/>
      <c r="H4" s="44"/>
      <c r="I4" s="44"/>
      <c r="J4" s="44"/>
    </row>
    <row r="6" spans="1:10" ht="21" x14ac:dyDescent="0.3">
      <c r="A6" s="45" t="s">
        <v>35</v>
      </c>
      <c r="B6" s="45"/>
      <c r="C6" s="45"/>
      <c r="D6" s="45"/>
      <c r="E6" s="45"/>
      <c r="F6" s="45"/>
      <c r="G6" s="45"/>
      <c r="H6" s="45"/>
      <c r="I6" s="45"/>
      <c r="J6" s="45"/>
    </row>
    <row r="7" spans="1:10" ht="21" x14ac:dyDescent="0.3">
      <c r="A7" s="28"/>
      <c r="B7" s="28"/>
      <c r="C7" s="28"/>
      <c r="D7" s="28"/>
      <c r="E7" s="28"/>
      <c r="F7" s="28"/>
      <c r="G7" s="28"/>
      <c r="H7" s="28"/>
      <c r="I7" s="28"/>
      <c r="J7" s="28"/>
    </row>
    <row r="8" spans="1:10" ht="21" x14ac:dyDescent="0.3">
      <c r="A8" s="28"/>
      <c r="B8" s="28"/>
      <c r="C8" s="28"/>
      <c r="D8" s="28"/>
      <c r="E8" s="28"/>
      <c r="F8" s="28"/>
      <c r="G8" s="28"/>
      <c r="H8" s="28"/>
      <c r="I8" s="28"/>
      <c r="J8" s="28"/>
    </row>
    <row r="10" spans="1:10" ht="15.6" x14ac:dyDescent="0.3">
      <c r="B10" t="s">
        <v>36</v>
      </c>
      <c r="C10" s="12" t="s">
        <v>63</v>
      </c>
    </row>
    <row r="12" spans="1:10" ht="15.6" x14ac:dyDescent="0.3">
      <c r="B12" s="13" t="s">
        <v>44</v>
      </c>
      <c r="G12" s="12"/>
    </row>
    <row r="13" spans="1:10" ht="15.6" x14ac:dyDescent="0.3">
      <c r="B13" s="20" t="s">
        <v>58</v>
      </c>
      <c r="G13" s="19"/>
    </row>
    <row r="14" spans="1:10" x14ac:dyDescent="0.3">
      <c r="B14" t="s">
        <v>60</v>
      </c>
    </row>
    <row r="15" spans="1:10" x14ac:dyDescent="0.3">
      <c r="B15" t="s">
        <v>59</v>
      </c>
    </row>
    <row r="16" spans="1:10" x14ac:dyDescent="0.3">
      <c r="B16" s="21" t="s">
        <v>33</v>
      </c>
    </row>
    <row r="17" spans="2:9" x14ac:dyDescent="0.3">
      <c r="B17" s="2" t="s">
        <v>62</v>
      </c>
    </row>
    <row r="18" spans="2:9" x14ac:dyDescent="0.3">
      <c r="B18" s="14" t="s">
        <v>61</v>
      </c>
    </row>
    <row r="19" spans="2:9" x14ac:dyDescent="0.3">
      <c r="B19" s="14"/>
    </row>
    <row r="20" spans="2:9" x14ac:dyDescent="0.3">
      <c r="B20" s="14"/>
    </row>
    <row r="21" spans="2:9" ht="15.6" x14ac:dyDescent="0.3">
      <c r="E21" s="22" t="s">
        <v>57</v>
      </c>
    </row>
    <row r="24" spans="2:9" x14ac:dyDescent="0.3">
      <c r="B24" s="14"/>
    </row>
    <row r="25" spans="2:9" x14ac:dyDescent="0.3">
      <c r="B25" s="2" t="s">
        <v>43</v>
      </c>
    </row>
    <row r="26" spans="2:9" x14ac:dyDescent="0.3">
      <c r="B26" s="2"/>
      <c r="C26" t="s">
        <v>55</v>
      </c>
    </row>
    <row r="27" spans="2:9" x14ac:dyDescent="0.3">
      <c r="B27" t="s">
        <v>56</v>
      </c>
    </row>
    <row r="28" spans="2:9" x14ac:dyDescent="0.3">
      <c r="B28" s="2"/>
    </row>
    <row r="29" spans="2:9" s="6" customFormat="1" x14ac:dyDescent="0.3">
      <c r="B29" s="3" t="s">
        <v>12</v>
      </c>
      <c r="C29" s="43" t="s">
        <v>16</v>
      </c>
      <c r="D29" s="43"/>
      <c r="E29" s="43"/>
      <c r="F29" s="3" t="s">
        <v>64</v>
      </c>
      <c r="G29" s="3" t="s">
        <v>65</v>
      </c>
      <c r="H29" s="3" t="s">
        <v>66</v>
      </c>
      <c r="I29" s="3" t="s">
        <v>67</v>
      </c>
    </row>
    <row r="30" spans="2:9" s="27" customFormat="1" ht="57.6" x14ac:dyDescent="0.3">
      <c r="B30" s="24">
        <v>1</v>
      </c>
      <c r="C30" s="47" t="s">
        <v>72</v>
      </c>
      <c r="D30" s="48"/>
      <c r="E30" s="49"/>
      <c r="F30" s="35" t="s">
        <v>68</v>
      </c>
      <c r="G30" s="24" t="s">
        <v>69</v>
      </c>
      <c r="H30" s="24" t="s">
        <v>70</v>
      </c>
      <c r="I30" s="36" t="s">
        <v>71</v>
      </c>
    </row>
    <row r="31" spans="2:9" s="27" customFormat="1" ht="14.4" customHeight="1" x14ac:dyDescent="0.3">
      <c r="C31" s="30"/>
      <c r="D31" s="30"/>
      <c r="E31" s="30"/>
      <c r="F31" s="30"/>
      <c r="H31" s="34"/>
      <c r="I31" s="31"/>
    </row>
    <row r="32" spans="2:9" s="27" customFormat="1" ht="14.4" customHeight="1" x14ac:dyDescent="0.3">
      <c r="C32" s="30"/>
      <c r="D32" s="30"/>
      <c r="E32" s="30"/>
      <c r="F32" s="30"/>
      <c r="H32" s="34"/>
      <c r="I32" s="31"/>
    </row>
    <row r="33" spans="2:10" s="27" customFormat="1" ht="14.4" customHeight="1" x14ac:dyDescent="0.3">
      <c r="C33" s="30"/>
      <c r="D33" s="30"/>
      <c r="E33" s="30"/>
      <c r="F33" s="30"/>
      <c r="H33" s="34"/>
      <c r="I33" s="31"/>
    </row>
    <row r="34" spans="2:10" s="27" customFormat="1" ht="14.4" customHeight="1" x14ac:dyDescent="0.3">
      <c r="C34" s="30"/>
      <c r="D34" s="30"/>
      <c r="E34" s="30"/>
      <c r="F34" s="30"/>
      <c r="H34" s="34"/>
      <c r="I34" s="31"/>
    </row>
    <row r="35" spans="2:10" s="27" customFormat="1" ht="14.4" customHeight="1" x14ac:dyDescent="0.3">
      <c r="C35" s="30"/>
      <c r="D35" s="30"/>
      <c r="E35" s="30"/>
      <c r="F35" s="30"/>
      <c r="H35" s="34"/>
      <c r="I35" s="31"/>
    </row>
    <row r="36" spans="2:10" s="27" customFormat="1" ht="14.4" customHeight="1" x14ac:dyDescent="0.3">
      <c r="C36" s="30"/>
      <c r="D36" s="30"/>
      <c r="E36" s="30"/>
      <c r="F36" s="30"/>
      <c r="H36" s="34"/>
      <c r="I36" s="31"/>
    </row>
    <row r="37" spans="2:10" x14ac:dyDescent="0.3">
      <c r="B37" s="8"/>
      <c r="C37" s="8"/>
      <c r="D37" s="8"/>
      <c r="E37" s="8"/>
      <c r="F37" s="8"/>
      <c r="G37" s="8"/>
      <c r="I37" s="23"/>
      <c r="J37" s="33"/>
    </row>
    <row r="38" spans="2:10" x14ac:dyDescent="0.3">
      <c r="B38" s="8"/>
      <c r="C38" s="8"/>
      <c r="D38" s="8"/>
      <c r="E38" s="8"/>
      <c r="F38" s="8"/>
      <c r="G38" s="8"/>
      <c r="I38" s="2"/>
      <c r="J38" s="33"/>
    </row>
    <row r="39" spans="2:10" x14ac:dyDescent="0.3">
      <c r="B39" t="s">
        <v>34</v>
      </c>
    </row>
    <row r="46" spans="2:10" x14ac:dyDescent="0.3">
      <c r="B46" s="2" t="s">
        <v>37</v>
      </c>
    </row>
    <row r="47" spans="2:10" x14ac:dyDescent="0.3">
      <c r="B47" t="s">
        <v>38</v>
      </c>
    </row>
    <row r="48" spans="2:10" x14ac:dyDescent="0.3">
      <c r="B48" t="s">
        <v>39</v>
      </c>
    </row>
    <row r="49" spans="2:2" x14ac:dyDescent="0.3">
      <c r="B49" t="s">
        <v>40</v>
      </c>
    </row>
    <row r="50" spans="2:2" x14ac:dyDescent="0.3">
      <c r="B50" t="s">
        <v>41</v>
      </c>
    </row>
    <row r="51" spans="2:2" x14ac:dyDescent="0.3">
      <c r="B51" s="21" t="s">
        <v>42</v>
      </c>
    </row>
    <row r="52" spans="2:2" x14ac:dyDescent="0.3">
      <c r="B52" s="2"/>
    </row>
    <row r="53" spans="2:2" x14ac:dyDescent="0.3">
      <c r="B53" s="2"/>
    </row>
    <row r="54" spans="2:2" x14ac:dyDescent="0.3">
      <c r="B54" s="2"/>
    </row>
    <row r="55" spans="2:2" x14ac:dyDescent="0.3">
      <c r="B55" s="2"/>
    </row>
    <row r="56" spans="2:2" x14ac:dyDescent="0.3">
      <c r="B56" s="2"/>
    </row>
    <row r="57" spans="2:2" x14ac:dyDescent="0.3">
      <c r="B57" s="2"/>
    </row>
    <row r="58" spans="2:2" x14ac:dyDescent="0.3">
      <c r="B58" s="2"/>
    </row>
    <row r="59" spans="2:2" x14ac:dyDescent="0.3">
      <c r="B59" s="2"/>
    </row>
    <row r="60" spans="2:2" x14ac:dyDescent="0.3">
      <c r="B60" s="2"/>
    </row>
    <row r="61" spans="2:2" x14ac:dyDescent="0.3">
      <c r="B61" s="2"/>
    </row>
    <row r="62" spans="2:2" x14ac:dyDescent="0.3">
      <c r="B62" s="2"/>
    </row>
    <row r="63" spans="2:2" x14ac:dyDescent="0.3">
      <c r="B63" s="2"/>
    </row>
    <row r="64" spans="2:2" x14ac:dyDescent="0.3">
      <c r="B64" s="2"/>
    </row>
    <row r="65" spans="2:10" x14ac:dyDescent="0.3">
      <c r="B65" s="2"/>
    </row>
    <row r="66" spans="2:10" x14ac:dyDescent="0.3">
      <c r="B66" s="2"/>
    </row>
    <row r="67" spans="2:10" x14ac:dyDescent="0.3">
      <c r="B67" s="2"/>
    </row>
    <row r="68" spans="2:10" x14ac:dyDescent="0.3">
      <c r="B68" s="2"/>
    </row>
    <row r="69" spans="2:10" x14ac:dyDescent="0.3">
      <c r="B69" s="2"/>
    </row>
    <row r="70" spans="2:10" x14ac:dyDescent="0.3">
      <c r="B70" s="2"/>
    </row>
    <row r="71" spans="2:10" x14ac:dyDescent="0.3">
      <c r="B71" s="2"/>
    </row>
    <row r="72" spans="2:10" x14ac:dyDescent="0.3">
      <c r="B72" s="2"/>
    </row>
    <row r="73" spans="2:10" x14ac:dyDescent="0.3">
      <c r="B73" s="2"/>
    </row>
    <row r="74" spans="2:10" x14ac:dyDescent="0.3">
      <c r="B74" s="2"/>
    </row>
    <row r="75" spans="2:10" x14ac:dyDescent="0.3">
      <c r="B75" s="2"/>
    </row>
    <row r="76" spans="2:10" ht="14.4" customHeight="1" x14ac:dyDescent="0.3">
      <c r="B76" s="46" t="s">
        <v>45</v>
      </c>
      <c r="C76" s="46"/>
      <c r="D76" s="46"/>
      <c r="E76" s="46"/>
      <c r="F76" s="46"/>
      <c r="G76" s="46"/>
      <c r="H76" s="46"/>
      <c r="I76" s="46"/>
      <c r="J76" s="46"/>
    </row>
    <row r="77" spans="2:10" x14ac:dyDescent="0.3">
      <c r="B77" s="46"/>
      <c r="C77" s="46"/>
      <c r="D77" s="46"/>
      <c r="E77" s="46"/>
      <c r="F77" s="46"/>
      <c r="G77" s="46"/>
      <c r="H77" s="46"/>
      <c r="I77" s="46"/>
      <c r="J77" s="46"/>
    </row>
    <row r="78" spans="2:10" x14ac:dyDescent="0.3">
      <c r="B78" s="46"/>
      <c r="C78" s="46"/>
      <c r="D78" s="46"/>
      <c r="E78" s="46"/>
      <c r="F78" s="46"/>
      <c r="G78" s="46"/>
      <c r="H78" s="46"/>
      <c r="I78" s="46"/>
      <c r="J78" s="46"/>
    </row>
    <row r="79" spans="2:10" x14ac:dyDescent="0.3">
      <c r="C79" s="18"/>
    </row>
    <row r="80" spans="2:10" x14ac:dyDescent="0.3">
      <c r="C80" s="18"/>
    </row>
  </sheetData>
  <mergeCells count="5">
    <mergeCell ref="G1:J4"/>
    <mergeCell ref="A6:J6"/>
    <mergeCell ref="B76:J78"/>
    <mergeCell ref="C29:E29"/>
    <mergeCell ref="C30:E30"/>
  </mergeCells>
  <printOptions horizontalCentered="1" verticalCentered="1"/>
  <pageMargins left="0" right="0" top="0" bottom="0" header="0.31496062992125984" footer="0.31496062992125984"/>
  <pageSetup paperSize="9" scale="66" fitToWidth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71E39-B80E-47BE-9B5F-2CF94C17C63E}">
  <sheetPr codeName="Sheet6">
    <pageSetUpPr fitToPage="1"/>
  </sheetPr>
  <dimension ref="A1:J78"/>
  <sheetViews>
    <sheetView view="pageBreakPreview" topLeftCell="A6" zoomScaleNormal="100" zoomScaleSheetLayoutView="100" workbookViewId="0">
      <selection activeCell="C31" sqref="C31:F31"/>
    </sheetView>
  </sheetViews>
  <sheetFormatPr defaultRowHeight="14.4" x14ac:dyDescent="0.3"/>
  <cols>
    <col min="2" max="2" width="10" bestFit="1" customWidth="1"/>
    <col min="7" max="7" width="17.33203125" bestFit="1" customWidth="1"/>
    <col min="8" max="8" width="7.6640625" customWidth="1"/>
    <col min="9" max="9" width="16.33203125" customWidth="1"/>
    <col min="10" max="10" width="19.5546875" customWidth="1"/>
  </cols>
  <sheetData>
    <row r="1" spans="1:10" ht="14.4" customHeight="1" x14ac:dyDescent="0.3">
      <c r="G1" s="44" t="s">
        <v>46</v>
      </c>
      <c r="H1" s="44"/>
      <c r="I1" s="44"/>
      <c r="J1" s="44"/>
    </row>
    <row r="2" spans="1:10" x14ac:dyDescent="0.3">
      <c r="G2" s="44"/>
      <c r="H2" s="44"/>
      <c r="I2" s="44"/>
      <c r="J2" s="44"/>
    </row>
    <row r="3" spans="1:10" x14ac:dyDescent="0.3">
      <c r="G3" s="44"/>
      <c r="H3" s="44"/>
      <c r="I3" s="44"/>
      <c r="J3" s="44"/>
    </row>
    <row r="4" spans="1:10" x14ac:dyDescent="0.3">
      <c r="G4" s="44"/>
      <c r="H4" s="44"/>
      <c r="I4" s="44"/>
      <c r="J4" s="44"/>
    </row>
    <row r="6" spans="1:10" ht="21" x14ac:dyDescent="0.3">
      <c r="A6" s="45" t="s">
        <v>35</v>
      </c>
      <c r="B6" s="45"/>
      <c r="C6" s="45"/>
      <c r="D6" s="45"/>
      <c r="E6" s="45"/>
      <c r="F6" s="45"/>
      <c r="G6" s="45"/>
      <c r="H6" s="45"/>
      <c r="I6" s="45"/>
      <c r="J6" s="45"/>
    </row>
    <row r="7" spans="1:10" ht="21" x14ac:dyDescent="0.3">
      <c r="A7" s="28"/>
      <c r="B7" s="28"/>
      <c r="C7" s="28"/>
      <c r="D7" s="28"/>
      <c r="E7" s="28"/>
      <c r="F7" s="28"/>
      <c r="G7" s="28"/>
      <c r="H7" s="28"/>
      <c r="I7" s="28"/>
      <c r="J7" s="28"/>
    </row>
    <row r="8" spans="1:10" ht="21" x14ac:dyDescent="0.3">
      <c r="A8" s="28"/>
      <c r="B8" s="28"/>
      <c r="C8" s="28"/>
      <c r="D8" s="28"/>
      <c r="E8" s="28"/>
      <c r="F8" s="28"/>
      <c r="G8" s="28"/>
      <c r="H8" s="28"/>
      <c r="I8" s="28"/>
      <c r="J8" s="28"/>
    </row>
    <row r="10" spans="1:10" ht="15.6" x14ac:dyDescent="0.3">
      <c r="B10" t="s">
        <v>36</v>
      </c>
      <c r="C10" s="12" t="s">
        <v>63</v>
      </c>
    </row>
    <row r="12" spans="1:10" ht="15.6" x14ac:dyDescent="0.3">
      <c r="B12" s="13" t="s">
        <v>44</v>
      </c>
      <c r="G12" s="12"/>
    </row>
    <row r="13" spans="1:10" ht="15.6" x14ac:dyDescent="0.3">
      <c r="B13" s="20" t="s">
        <v>58</v>
      </c>
      <c r="G13" s="19"/>
    </row>
    <row r="14" spans="1:10" x14ac:dyDescent="0.3">
      <c r="B14" t="s">
        <v>60</v>
      </c>
    </row>
    <row r="15" spans="1:10" x14ac:dyDescent="0.3">
      <c r="B15" t="s">
        <v>59</v>
      </c>
    </row>
    <row r="16" spans="1:10" x14ac:dyDescent="0.3">
      <c r="B16" s="21" t="s">
        <v>33</v>
      </c>
    </row>
    <row r="17" spans="2:10" x14ac:dyDescent="0.3">
      <c r="B17" s="2" t="s">
        <v>62</v>
      </c>
    </row>
    <row r="18" spans="2:10" x14ac:dyDescent="0.3">
      <c r="B18" s="14" t="s">
        <v>61</v>
      </c>
    </row>
    <row r="19" spans="2:10" x14ac:dyDescent="0.3">
      <c r="B19" s="14"/>
    </row>
    <row r="20" spans="2:10" x14ac:dyDescent="0.3">
      <c r="B20" s="14"/>
    </row>
    <row r="21" spans="2:10" ht="15.6" x14ac:dyDescent="0.3">
      <c r="E21" s="22" t="s">
        <v>57</v>
      </c>
    </row>
    <row r="24" spans="2:10" x14ac:dyDescent="0.3">
      <c r="B24" s="14"/>
    </row>
    <row r="25" spans="2:10" x14ac:dyDescent="0.3">
      <c r="B25" s="2" t="s">
        <v>43</v>
      </c>
    </row>
    <row r="26" spans="2:10" x14ac:dyDescent="0.3">
      <c r="B26" s="2"/>
      <c r="C26" t="s">
        <v>55</v>
      </c>
    </row>
    <row r="27" spans="2:10" x14ac:dyDescent="0.3">
      <c r="B27" t="s">
        <v>56</v>
      </c>
    </row>
    <row r="28" spans="2:10" x14ac:dyDescent="0.3">
      <c r="B28" s="2"/>
    </row>
    <row r="29" spans="2:10" s="6" customFormat="1" x14ac:dyDescent="0.3">
      <c r="B29" s="3" t="s">
        <v>12</v>
      </c>
      <c r="C29" s="50" t="s">
        <v>16</v>
      </c>
      <c r="D29" s="51"/>
      <c r="E29" s="51"/>
      <c r="F29" s="51"/>
      <c r="G29" s="3" t="s">
        <v>51</v>
      </c>
      <c r="H29" s="3" t="s">
        <v>13</v>
      </c>
      <c r="I29" s="3" t="s">
        <v>52</v>
      </c>
      <c r="J29" s="3" t="s">
        <v>18</v>
      </c>
    </row>
    <row r="30" spans="2:10" s="27" customFormat="1" ht="14.4" customHeight="1" x14ac:dyDescent="0.3">
      <c r="B30" s="24">
        <v>1</v>
      </c>
      <c r="C30" s="38" t="s">
        <v>47</v>
      </c>
      <c r="D30" s="39"/>
      <c r="E30" s="39"/>
      <c r="F30" s="40"/>
      <c r="G30" s="25" t="s">
        <v>48</v>
      </c>
      <c r="H30" s="24">
        <v>1</v>
      </c>
      <c r="I30" s="26" t="s">
        <v>53</v>
      </c>
      <c r="J30" s="26">
        <v>229</v>
      </c>
    </row>
    <row r="31" spans="2:10" s="27" customFormat="1" ht="14.4" customHeight="1" x14ac:dyDescent="0.3">
      <c r="B31" s="24">
        <v>2</v>
      </c>
      <c r="C31" s="38" t="s">
        <v>49</v>
      </c>
      <c r="D31" s="39"/>
      <c r="E31" s="39"/>
      <c r="F31" s="40"/>
      <c r="G31" s="25" t="s">
        <v>50</v>
      </c>
      <c r="H31" s="24">
        <v>3</v>
      </c>
      <c r="I31" s="26" t="s">
        <v>54</v>
      </c>
      <c r="J31" s="26">
        <f>75*3</f>
        <v>225</v>
      </c>
    </row>
    <row r="32" spans="2:10" s="27" customFormat="1" x14ac:dyDescent="0.3">
      <c r="C32" s="30"/>
      <c r="D32" s="30"/>
      <c r="E32" s="30"/>
      <c r="F32" s="30"/>
      <c r="G32" s="31"/>
      <c r="I32" s="25" t="s">
        <v>15</v>
      </c>
      <c r="J32" s="32">
        <f>SUM(J30:J31)</f>
        <v>454</v>
      </c>
    </row>
    <row r="33" spans="2:10" x14ac:dyDescent="0.3">
      <c r="B33" s="6"/>
      <c r="C33" s="6"/>
      <c r="D33" s="6"/>
      <c r="E33" s="6"/>
      <c r="F33" s="6"/>
      <c r="G33" s="23"/>
      <c r="H33" s="27"/>
      <c r="I33" s="25" t="s">
        <v>17</v>
      </c>
      <c r="J33" s="32">
        <f>J32*5%</f>
        <v>22.700000000000003</v>
      </c>
    </row>
    <row r="34" spans="2:10" x14ac:dyDescent="0.3">
      <c r="B34" s="8"/>
      <c r="C34" s="8"/>
      <c r="D34" s="8"/>
      <c r="E34" s="8"/>
      <c r="F34" s="8"/>
      <c r="G34" s="8"/>
      <c r="I34" s="3" t="s">
        <v>18</v>
      </c>
      <c r="J34" s="29">
        <f>J32+J33</f>
        <v>476.7</v>
      </c>
    </row>
    <row r="35" spans="2:10" x14ac:dyDescent="0.3">
      <c r="B35" s="8"/>
      <c r="C35" s="8"/>
      <c r="D35" s="8"/>
      <c r="E35" s="8"/>
      <c r="F35" s="8"/>
      <c r="G35" s="8"/>
      <c r="I35" s="23"/>
      <c r="J35" s="33"/>
    </row>
    <row r="36" spans="2:10" x14ac:dyDescent="0.3">
      <c r="B36" s="8"/>
      <c r="C36" s="8"/>
      <c r="D36" s="8"/>
      <c r="E36" s="8"/>
      <c r="F36" s="8"/>
      <c r="G36" s="8"/>
      <c r="I36" s="2"/>
      <c r="J36" s="33"/>
    </row>
    <row r="37" spans="2:10" x14ac:dyDescent="0.3">
      <c r="B37" t="s">
        <v>34</v>
      </c>
    </row>
    <row r="44" spans="2:10" x14ac:dyDescent="0.3">
      <c r="B44" s="2" t="s">
        <v>37</v>
      </c>
    </row>
    <row r="45" spans="2:10" x14ac:dyDescent="0.3">
      <c r="B45" t="s">
        <v>38</v>
      </c>
    </row>
    <row r="46" spans="2:10" x14ac:dyDescent="0.3">
      <c r="B46" t="s">
        <v>39</v>
      </c>
    </row>
    <row r="47" spans="2:10" x14ac:dyDescent="0.3">
      <c r="B47" t="s">
        <v>40</v>
      </c>
    </row>
    <row r="48" spans="2:10" x14ac:dyDescent="0.3">
      <c r="B48" t="s">
        <v>41</v>
      </c>
    </row>
    <row r="49" spans="2:2" x14ac:dyDescent="0.3">
      <c r="B49" s="21" t="s">
        <v>42</v>
      </c>
    </row>
    <row r="50" spans="2:2" x14ac:dyDescent="0.3">
      <c r="B50" s="2"/>
    </row>
    <row r="51" spans="2:2" x14ac:dyDescent="0.3">
      <c r="B51" s="2"/>
    </row>
    <row r="52" spans="2:2" x14ac:dyDescent="0.3">
      <c r="B52" s="2"/>
    </row>
    <row r="53" spans="2:2" x14ac:dyDescent="0.3">
      <c r="B53" s="2"/>
    </row>
    <row r="54" spans="2:2" x14ac:dyDescent="0.3">
      <c r="B54" s="2"/>
    </row>
    <row r="55" spans="2:2" x14ac:dyDescent="0.3">
      <c r="B55" s="2"/>
    </row>
    <row r="56" spans="2:2" x14ac:dyDescent="0.3">
      <c r="B56" s="2"/>
    </row>
    <row r="57" spans="2:2" x14ac:dyDescent="0.3">
      <c r="B57" s="2"/>
    </row>
    <row r="58" spans="2:2" x14ac:dyDescent="0.3">
      <c r="B58" s="2"/>
    </row>
    <row r="59" spans="2:2" x14ac:dyDescent="0.3">
      <c r="B59" s="2"/>
    </row>
    <row r="60" spans="2:2" x14ac:dyDescent="0.3">
      <c r="B60" s="2"/>
    </row>
    <row r="61" spans="2:2" x14ac:dyDescent="0.3">
      <c r="B61" s="2"/>
    </row>
    <row r="62" spans="2:2" x14ac:dyDescent="0.3">
      <c r="B62" s="2"/>
    </row>
    <row r="63" spans="2:2" x14ac:dyDescent="0.3">
      <c r="B63" s="2"/>
    </row>
    <row r="64" spans="2:2" x14ac:dyDescent="0.3">
      <c r="B64" s="2"/>
    </row>
    <row r="65" spans="2:10" x14ac:dyDescent="0.3">
      <c r="B65" s="2"/>
    </row>
    <row r="66" spans="2:10" x14ac:dyDescent="0.3">
      <c r="B66" s="2"/>
    </row>
    <row r="67" spans="2:10" x14ac:dyDescent="0.3">
      <c r="B67" s="2"/>
    </row>
    <row r="68" spans="2:10" x14ac:dyDescent="0.3">
      <c r="B68" s="2"/>
    </row>
    <row r="69" spans="2:10" x14ac:dyDescent="0.3">
      <c r="B69" s="2"/>
    </row>
    <row r="70" spans="2:10" x14ac:dyDescent="0.3">
      <c r="B70" s="2"/>
    </row>
    <row r="71" spans="2:10" x14ac:dyDescent="0.3">
      <c r="B71" s="2"/>
    </row>
    <row r="72" spans="2:10" x14ac:dyDescent="0.3">
      <c r="B72" s="2"/>
    </row>
    <row r="73" spans="2:10" x14ac:dyDescent="0.3">
      <c r="B73" s="2"/>
    </row>
    <row r="74" spans="2:10" ht="14.4" customHeight="1" x14ac:dyDescent="0.3">
      <c r="B74" s="46" t="s">
        <v>45</v>
      </c>
      <c r="C74" s="46"/>
      <c r="D74" s="46"/>
      <c r="E74" s="46"/>
      <c r="F74" s="46"/>
      <c r="G74" s="46"/>
      <c r="H74" s="46"/>
      <c r="I74" s="46"/>
      <c r="J74" s="46"/>
    </row>
    <row r="75" spans="2:10" x14ac:dyDescent="0.3">
      <c r="B75" s="46"/>
      <c r="C75" s="46"/>
      <c r="D75" s="46"/>
      <c r="E75" s="46"/>
      <c r="F75" s="46"/>
      <c r="G75" s="46"/>
      <c r="H75" s="46"/>
      <c r="I75" s="46"/>
      <c r="J75" s="46"/>
    </row>
    <row r="76" spans="2:10" x14ac:dyDescent="0.3">
      <c r="B76" s="46"/>
      <c r="C76" s="46"/>
      <c r="D76" s="46"/>
      <c r="E76" s="46"/>
      <c r="F76" s="46"/>
      <c r="G76" s="46"/>
      <c r="H76" s="46"/>
      <c r="I76" s="46"/>
      <c r="J76" s="46"/>
    </row>
    <row r="77" spans="2:10" x14ac:dyDescent="0.3">
      <c r="C77" s="18"/>
    </row>
    <row r="78" spans="2:10" x14ac:dyDescent="0.3">
      <c r="C78" s="18"/>
    </row>
  </sheetData>
  <mergeCells count="6">
    <mergeCell ref="G1:J4"/>
    <mergeCell ref="B74:J76"/>
    <mergeCell ref="A6:J6"/>
    <mergeCell ref="C30:F30"/>
    <mergeCell ref="C31:F31"/>
    <mergeCell ref="C29:F29"/>
  </mergeCells>
  <printOptions horizontalCentered="1" verticalCentered="1"/>
  <pageMargins left="0" right="0" top="0" bottom="0" header="0.31496062992125984" footer="0.31496062992125984"/>
  <pageSetup paperSize="9" scale="71" fitToWidth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561DB-B194-4C8B-A19B-508848884AF6}">
  <sheetPr codeName="Sheet8"/>
  <dimension ref="B2:J54"/>
  <sheetViews>
    <sheetView view="pageBreakPreview" zoomScaleNormal="100" zoomScaleSheetLayoutView="100" workbookViewId="0">
      <selection activeCell="B1" sqref="B1"/>
    </sheetView>
  </sheetViews>
  <sheetFormatPr defaultRowHeight="14.4" x14ac:dyDescent="0.3"/>
  <cols>
    <col min="2" max="2" width="10" bestFit="1" customWidth="1"/>
    <col min="9" max="9" width="11.109375" customWidth="1"/>
  </cols>
  <sheetData>
    <row r="2" spans="2:9" ht="15.6" x14ac:dyDescent="0.3">
      <c r="G2" s="9" t="s">
        <v>0</v>
      </c>
    </row>
    <row r="3" spans="2:9" ht="15.6" x14ac:dyDescent="0.3">
      <c r="G3" s="10" t="s">
        <v>1</v>
      </c>
    </row>
    <row r="6" spans="2:9" ht="15.6" x14ac:dyDescent="0.3">
      <c r="F6" s="11" t="s">
        <v>2</v>
      </c>
    </row>
    <row r="8" spans="2:9" ht="15.6" x14ac:dyDescent="0.3">
      <c r="B8" s="12" t="s">
        <v>77</v>
      </c>
      <c r="I8" s="12" t="s">
        <v>76</v>
      </c>
    </row>
    <row r="10" spans="2:9" ht="15.6" x14ac:dyDescent="0.3">
      <c r="B10" s="13" t="s">
        <v>5</v>
      </c>
    </row>
    <row r="11" spans="2:9" ht="15.6" x14ac:dyDescent="0.3">
      <c r="B11" s="13" t="s">
        <v>58</v>
      </c>
    </row>
    <row r="12" spans="2:9" x14ac:dyDescent="0.3">
      <c r="B12" t="s">
        <v>60</v>
      </c>
    </row>
    <row r="13" spans="2:9" x14ac:dyDescent="0.3">
      <c r="B13" t="s">
        <v>59</v>
      </c>
    </row>
    <row r="14" spans="2:9" x14ac:dyDescent="0.3">
      <c r="B14" s="21" t="s">
        <v>33</v>
      </c>
    </row>
    <row r="15" spans="2:9" x14ac:dyDescent="0.3">
      <c r="B15" s="2" t="s">
        <v>62</v>
      </c>
    </row>
    <row r="16" spans="2:9" x14ac:dyDescent="0.3">
      <c r="B16" s="14" t="s">
        <v>61</v>
      </c>
    </row>
    <row r="17" spans="2:10" x14ac:dyDescent="0.3">
      <c r="B17" s="14"/>
    </row>
    <row r="18" spans="2:10" x14ac:dyDescent="0.3">
      <c r="B18" s="14"/>
    </row>
    <row r="20" spans="2:10" s="6" customFormat="1" x14ac:dyDescent="0.3">
      <c r="B20" s="3" t="s">
        <v>12</v>
      </c>
      <c r="C20" s="43" t="s">
        <v>16</v>
      </c>
      <c r="D20" s="43"/>
      <c r="E20" s="43"/>
      <c r="F20" s="43"/>
      <c r="G20" s="43"/>
      <c r="H20" s="3" t="s">
        <v>13</v>
      </c>
      <c r="I20" s="3" t="s">
        <v>14</v>
      </c>
      <c r="J20" s="3" t="s">
        <v>15</v>
      </c>
    </row>
    <row r="21" spans="2:10" ht="14.4" customHeight="1" x14ac:dyDescent="0.3">
      <c r="B21" s="4">
        <v>1</v>
      </c>
      <c r="C21" s="38" t="s">
        <v>73</v>
      </c>
      <c r="D21" s="39"/>
      <c r="E21" s="39"/>
      <c r="F21" s="39"/>
      <c r="G21" s="40"/>
      <c r="H21" s="4" t="s">
        <v>48</v>
      </c>
      <c r="I21" s="5">
        <v>229</v>
      </c>
      <c r="J21" s="5">
        <v>229</v>
      </c>
    </row>
    <row r="22" spans="2:10" ht="14.4" customHeight="1" x14ac:dyDescent="0.3">
      <c r="B22" s="4">
        <v>2</v>
      </c>
      <c r="C22" s="38" t="s">
        <v>49</v>
      </c>
      <c r="D22" s="39"/>
      <c r="E22" s="39"/>
      <c r="F22" s="39"/>
      <c r="G22" s="40"/>
      <c r="H22" s="4" t="s">
        <v>74</v>
      </c>
      <c r="I22" s="5">
        <v>75</v>
      </c>
      <c r="J22" s="5">
        <v>225</v>
      </c>
    </row>
    <row r="23" spans="2:10" x14ac:dyDescent="0.3">
      <c r="B23" s="6"/>
      <c r="C23" s="41"/>
      <c r="D23" s="41"/>
      <c r="E23" s="41"/>
      <c r="F23" s="41"/>
      <c r="G23" s="41"/>
      <c r="H23" s="42" t="s">
        <v>15</v>
      </c>
      <c r="I23" s="42"/>
      <c r="J23" s="7">
        <f>SUM(J21:J22)</f>
        <v>454</v>
      </c>
    </row>
    <row r="24" spans="2:10" x14ac:dyDescent="0.3">
      <c r="B24" s="6"/>
      <c r="C24" s="6"/>
      <c r="D24" s="6"/>
      <c r="E24" s="6"/>
      <c r="F24" s="6"/>
      <c r="G24" s="6"/>
      <c r="H24" s="43" t="s">
        <v>17</v>
      </c>
      <c r="I24" s="43"/>
      <c r="J24" s="7">
        <f>J23*5%</f>
        <v>22.700000000000003</v>
      </c>
    </row>
    <row r="25" spans="2:10" x14ac:dyDescent="0.3">
      <c r="B25" s="6"/>
      <c r="C25" s="41"/>
      <c r="D25" s="41"/>
      <c r="E25" s="41"/>
      <c r="F25" s="41"/>
      <c r="G25" s="41"/>
      <c r="H25" s="43" t="s">
        <v>18</v>
      </c>
      <c r="I25" s="43"/>
      <c r="J25" s="7">
        <f>SUM(J23:J24)</f>
        <v>476.7</v>
      </c>
    </row>
    <row r="27" spans="2:10" x14ac:dyDescent="0.3">
      <c r="B27" s="37" t="s">
        <v>19</v>
      </c>
      <c r="C27" s="37"/>
      <c r="D27" s="8" t="s">
        <v>75</v>
      </c>
    </row>
    <row r="29" spans="2:10" ht="15.6" x14ac:dyDescent="0.3">
      <c r="B29" s="15" t="s">
        <v>25</v>
      </c>
    </row>
    <row r="30" spans="2:10" ht="15.6" x14ac:dyDescent="0.3">
      <c r="B30" s="15" t="s">
        <v>26</v>
      </c>
    </row>
    <row r="31" spans="2:10" ht="15" x14ac:dyDescent="0.3">
      <c r="B31" s="15"/>
    </row>
    <row r="32" spans="2:10" ht="15.6" x14ac:dyDescent="0.3">
      <c r="C32" s="16"/>
    </row>
    <row r="33" spans="2:8" ht="15.6" x14ac:dyDescent="0.3">
      <c r="C33" s="16"/>
    </row>
    <row r="34" spans="2:8" ht="15.6" x14ac:dyDescent="0.3">
      <c r="C34" s="16"/>
    </row>
    <row r="35" spans="2:8" ht="15.6" x14ac:dyDescent="0.3">
      <c r="C35" s="16"/>
    </row>
    <row r="36" spans="2:8" ht="15.6" x14ac:dyDescent="0.3">
      <c r="C36" s="16"/>
    </row>
    <row r="37" spans="2:8" ht="15.6" x14ac:dyDescent="0.3">
      <c r="C37" s="16"/>
    </row>
    <row r="38" spans="2:8" ht="15.6" x14ac:dyDescent="0.3">
      <c r="C38" s="16"/>
    </row>
    <row r="45" spans="2:8" ht="15.6" x14ac:dyDescent="0.3">
      <c r="B45" s="17" t="s">
        <v>29</v>
      </c>
      <c r="H45" s="17" t="s">
        <v>28</v>
      </c>
    </row>
    <row r="53" spans="3:3" x14ac:dyDescent="0.3">
      <c r="C53" s="18" t="s">
        <v>30</v>
      </c>
    </row>
    <row r="54" spans="3:3" x14ac:dyDescent="0.3">
      <c r="C54" s="18" t="s">
        <v>31</v>
      </c>
    </row>
  </sheetData>
  <mergeCells count="9">
    <mergeCell ref="C20:G20"/>
    <mergeCell ref="B27:C27"/>
    <mergeCell ref="C21:G21"/>
    <mergeCell ref="C22:G22"/>
    <mergeCell ref="C23:G23"/>
    <mergeCell ref="H23:I23"/>
    <mergeCell ref="H24:I24"/>
    <mergeCell ref="C25:G25"/>
    <mergeCell ref="H25:I25"/>
  </mergeCells>
  <printOptions horizontalCentered="1" verticalCentered="1"/>
  <pageMargins left="0" right="0" top="0" bottom="0" header="0.31496062992125984" footer="0.31496062992125984"/>
  <pageSetup paperSize="9" scale="8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70DBC-FA1A-415E-B133-51DCD567DDB2}">
  <sheetPr codeName="Sheet5"/>
  <dimension ref="B2:J59"/>
  <sheetViews>
    <sheetView tabSelected="1" view="pageBreakPreview" topLeftCell="A6" zoomScaleNormal="100" zoomScaleSheetLayoutView="100" workbookViewId="0">
      <selection activeCell="G14" sqref="G14"/>
    </sheetView>
  </sheetViews>
  <sheetFormatPr defaultRowHeight="14.4" x14ac:dyDescent="0.3"/>
  <cols>
    <col min="2" max="2" width="10" bestFit="1" customWidth="1"/>
    <col min="9" max="9" width="11.109375" customWidth="1"/>
  </cols>
  <sheetData>
    <row r="2" spans="2:9" ht="15.6" x14ac:dyDescent="0.3">
      <c r="G2" s="9" t="s">
        <v>0</v>
      </c>
    </row>
    <row r="3" spans="2:9" ht="15.6" x14ac:dyDescent="0.3">
      <c r="G3" s="10" t="s">
        <v>1</v>
      </c>
    </row>
    <row r="6" spans="2:9" ht="15.6" x14ac:dyDescent="0.3">
      <c r="F6" s="11" t="s">
        <v>2</v>
      </c>
    </row>
    <row r="8" spans="2:9" ht="15.6" x14ac:dyDescent="0.3">
      <c r="B8" s="12" t="s">
        <v>3</v>
      </c>
      <c r="I8" s="12" t="s">
        <v>4</v>
      </c>
    </row>
    <row r="10" spans="2:9" ht="15.6" x14ac:dyDescent="0.3">
      <c r="B10" s="13" t="s">
        <v>5</v>
      </c>
    </row>
    <row r="11" spans="2:9" ht="15.6" x14ac:dyDescent="0.3">
      <c r="B11" s="13" t="s">
        <v>6</v>
      </c>
    </row>
    <row r="12" spans="2:9" x14ac:dyDescent="0.3">
      <c r="B12" t="s">
        <v>7</v>
      </c>
    </row>
    <row r="13" spans="2:9" x14ac:dyDescent="0.3">
      <c r="B13" t="s">
        <v>8</v>
      </c>
    </row>
    <row r="14" spans="2:9" x14ac:dyDescent="0.3">
      <c r="B14" t="s">
        <v>9</v>
      </c>
    </row>
    <row r="15" spans="2:9" x14ac:dyDescent="0.3">
      <c r="B15" s="2" t="s">
        <v>10</v>
      </c>
    </row>
    <row r="16" spans="2:9" x14ac:dyDescent="0.3">
      <c r="B16" s="14" t="s">
        <v>11</v>
      </c>
    </row>
    <row r="17" spans="2:10" x14ac:dyDescent="0.3">
      <c r="B17" s="14"/>
    </row>
    <row r="18" spans="2:10" x14ac:dyDescent="0.3">
      <c r="B18" s="14"/>
    </row>
    <row r="20" spans="2:10" s="6" customFormat="1" x14ac:dyDescent="0.3">
      <c r="B20" s="3" t="s">
        <v>12</v>
      </c>
      <c r="C20" s="43" t="s">
        <v>16</v>
      </c>
      <c r="D20" s="43"/>
      <c r="E20" s="43"/>
      <c r="F20" s="43"/>
      <c r="G20" s="43"/>
      <c r="H20" s="3" t="s">
        <v>13</v>
      </c>
      <c r="I20" s="3" t="s">
        <v>14</v>
      </c>
      <c r="J20" s="3" t="s">
        <v>15</v>
      </c>
    </row>
    <row r="21" spans="2:10" x14ac:dyDescent="0.3">
      <c r="B21" s="4">
        <v>1</v>
      </c>
      <c r="C21" s="53" t="s">
        <v>20</v>
      </c>
      <c r="D21" s="53"/>
      <c r="E21" s="53"/>
      <c r="F21" s="53"/>
      <c r="G21" s="53"/>
      <c r="H21" s="4">
        <v>1</v>
      </c>
      <c r="I21" s="5">
        <v>465</v>
      </c>
      <c r="J21" s="5">
        <f>I21*H21</f>
        <v>465</v>
      </c>
    </row>
    <row r="22" spans="2:10" x14ac:dyDescent="0.3">
      <c r="B22" s="4">
        <v>2</v>
      </c>
      <c r="C22" s="53" t="s">
        <v>21</v>
      </c>
      <c r="D22" s="53"/>
      <c r="E22" s="53"/>
      <c r="F22" s="53"/>
      <c r="G22" s="53"/>
      <c r="H22" s="4">
        <v>1</v>
      </c>
      <c r="I22" s="5">
        <v>550</v>
      </c>
      <c r="J22" s="5">
        <f t="shared" ref="J22:J25" si="0">I22*H22</f>
        <v>550</v>
      </c>
    </row>
    <row r="23" spans="2:10" x14ac:dyDescent="0.3">
      <c r="B23" s="4">
        <v>3</v>
      </c>
      <c r="C23" s="53" t="s">
        <v>22</v>
      </c>
      <c r="D23" s="53"/>
      <c r="E23" s="53"/>
      <c r="F23" s="53"/>
      <c r="G23" s="53"/>
      <c r="H23" s="4">
        <v>1</v>
      </c>
      <c r="I23" s="5">
        <v>465</v>
      </c>
      <c r="J23" s="5">
        <f t="shared" si="0"/>
        <v>465</v>
      </c>
    </row>
    <row r="24" spans="2:10" x14ac:dyDescent="0.3">
      <c r="B24" s="4">
        <v>4</v>
      </c>
      <c r="C24" s="53" t="s">
        <v>23</v>
      </c>
      <c r="D24" s="53"/>
      <c r="E24" s="53"/>
      <c r="F24" s="53"/>
      <c r="G24" s="53"/>
      <c r="H24" s="4">
        <v>1</v>
      </c>
      <c r="I24" s="5">
        <v>210</v>
      </c>
      <c r="J24" s="5">
        <f t="shared" si="0"/>
        <v>210</v>
      </c>
    </row>
    <row r="25" spans="2:10" x14ac:dyDescent="0.3">
      <c r="B25" s="4">
        <v>5</v>
      </c>
      <c r="C25" s="53" t="s">
        <v>24</v>
      </c>
      <c r="D25" s="53"/>
      <c r="E25" s="53"/>
      <c r="F25" s="53"/>
      <c r="G25" s="53"/>
      <c r="H25" s="4">
        <v>1</v>
      </c>
      <c r="I25" s="5">
        <v>270</v>
      </c>
      <c r="J25" s="5">
        <f t="shared" si="0"/>
        <v>270</v>
      </c>
    </row>
    <row r="26" spans="2:10" x14ac:dyDescent="0.3">
      <c r="B26" s="4"/>
      <c r="C26" s="52"/>
      <c r="D26" s="52"/>
      <c r="E26" s="52"/>
      <c r="F26" s="52"/>
      <c r="G26" s="52"/>
      <c r="H26" s="4"/>
      <c r="I26" s="5"/>
      <c r="J26" s="5"/>
    </row>
    <row r="27" spans="2:10" x14ac:dyDescent="0.3">
      <c r="B27" s="4"/>
      <c r="C27" s="52"/>
      <c r="D27" s="52"/>
      <c r="E27" s="52"/>
      <c r="F27" s="52"/>
      <c r="G27" s="52"/>
      <c r="H27" s="1"/>
      <c r="I27" s="5"/>
      <c r="J27" s="5"/>
    </row>
    <row r="28" spans="2:10" x14ac:dyDescent="0.3">
      <c r="B28" s="6"/>
      <c r="C28" s="41"/>
      <c r="D28" s="41"/>
      <c r="E28" s="41"/>
      <c r="F28" s="41"/>
      <c r="G28" s="41"/>
      <c r="H28" s="42" t="s">
        <v>15</v>
      </c>
      <c r="I28" s="42"/>
      <c r="J28" s="7">
        <f>SUM(J21:J25)</f>
        <v>1960</v>
      </c>
    </row>
    <row r="29" spans="2:10" x14ac:dyDescent="0.3">
      <c r="B29" s="6"/>
      <c r="C29" s="6"/>
      <c r="D29" s="6"/>
      <c r="E29" s="6"/>
      <c r="F29" s="6"/>
      <c r="G29" s="6"/>
      <c r="H29" s="43" t="s">
        <v>17</v>
      </c>
      <c r="I29" s="43"/>
      <c r="J29" s="7">
        <f>J28*5%</f>
        <v>98</v>
      </c>
    </row>
    <row r="30" spans="2:10" x14ac:dyDescent="0.3">
      <c r="B30" s="6"/>
      <c r="C30" s="41"/>
      <c r="D30" s="41"/>
      <c r="E30" s="41"/>
      <c r="F30" s="41"/>
      <c r="G30" s="41"/>
      <c r="H30" s="43" t="s">
        <v>18</v>
      </c>
      <c r="I30" s="43"/>
      <c r="J30" s="7">
        <f>SUM(J28:J29)</f>
        <v>2058</v>
      </c>
    </row>
    <row r="32" spans="2:10" x14ac:dyDescent="0.3">
      <c r="B32" s="37" t="s">
        <v>19</v>
      </c>
      <c r="C32" s="37"/>
      <c r="D32" s="8" t="s">
        <v>32</v>
      </c>
    </row>
    <row r="34" spans="2:3" ht="15.6" x14ac:dyDescent="0.3">
      <c r="B34" s="15" t="s">
        <v>25</v>
      </c>
    </row>
    <row r="35" spans="2:3" ht="15.6" x14ac:dyDescent="0.3">
      <c r="B35" s="15" t="s">
        <v>26</v>
      </c>
    </row>
    <row r="36" spans="2:3" ht="15.6" x14ac:dyDescent="0.3">
      <c r="B36" s="15" t="s">
        <v>27</v>
      </c>
    </row>
    <row r="37" spans="2:3" ht="15.6" x14ac:dyDescent="0.3">
      <c r="C37" s="16"/>
    </row>
    <row r="38" spans="2:3" ht="15.6" x14ac:dyDescent="0.3">
      <c r="C38" s="16"/>
    </row>
    <row r="39" spans="2:3" ht="15.6" x14ac:dyDescent="0.3">
      <c r="C39" s="16"/>
    </row>
    <row r="40" spans="2:3" ht="15.6" x14ac:dyDescent="0.3">
      <c r="C40" s="16"/>
    </row>
    <row r="41" spans="2:3" ht="15.6" x14ac:dyDescent="0.3">
      <c r="C41" s="16"/>
    </row>
    <row r="42" spans="2:3" ht="15.6" x14ac:dyDescent="0.3">
      <c r="C42" s="16"/>
    </row>
    <row r="43" spans="2:3" ht="15.6" x14ac:dyDescent="0.3">
      <c r="C43" s="16"/>
    </row>
    <row r="50" spans="2:8" ht="15.6" x14ac:dyDescent="0.3">
      <c r="B50" s="17" t="s">
        <v>29</v>
      </c>
      <c r="H50" s="17" t="s">
        <v>28</v>
      </c>
    </row>
    <row r="58" spans="2:8" x14ac:dyDescent="0.3">
      <c r="C58" s="18" t="s">
        <v>30</v>
      </c>
    </row>
    <row r="59" spans="2:8" x14ac:dyDescent="0.3">
      <c r="C59" s="18" t="s">
        <v>31</v>
      </c>
    </row>
  </sheetData>
  <mergeCells count="14">
    <mergeCell ref="C25:G25"/>
    <mergeCell ref="C26:G26"/>
    <mergeCell ref="C20:G20"/>
    <mergeCell ref="C21:G21"/>
    <mergeCell ref="C22:G22"/>
    <mergeCell ref="C23:G23"/>
    <mergeCell ref="C24:G24"/>
    <mergeCell ref="B32:C32"/>
    <mergeCell ref="C27:G27"/>
    <mergeCell ref="C28:G28"/>
    <mergeCell ref="C30:G30"/>
    <mergeCell ref="H30:I30"/>
    <mergeCell ref="H28:I28"/>
    <mergeCell ref="H29:I29"/>
  </mergeCells>
  <printOptions horizontalCentered="1" verticalCentered="1"/>
  <pageMargins left="0" right="0" top="0" bottom="0" header="0.31496062992125984" footer="0.31496062992125984"/>
  <pageSetup paperSize="9" scale="8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Quotation (2)</vt:lpstr>
      <vt:lpstr>Quotation</vt:lpstr>
      <vt:lpstr>Tax Invoice (2)</vt:lpstr>
      <vt:lpstr>Tax Invoice</vt:lpstr>
      <vt:lpstr>Quotation!Print_Area</vt:lpstr>
      <vt:lpstr>'Quotation (2)'!Print_Area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Sivaramaiah KOWRATI</dc:creator>
  <cp:lastModifiedBy>Sivaramaiah KOWRATI</cp:lastModifiedBy>
  <cp:lastPrinted>2026-03-07T09:53:21Z</cp:lastPrinted>
  <dcterms:created xsi:type="dcterms:W3CDTF">2026-02-03T14:10:48Z</dcterms:created>
  <dcterms:modified xsi:type="dcterms:W3CDTF">2026-03-12T06:34:53Z</dcterms:modified>
</cp:coreProperties>
</file>